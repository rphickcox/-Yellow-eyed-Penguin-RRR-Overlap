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221820b3a2d9e1e1/Penguins PhD/RPhD/RPhD_MarineForaging/PenguinRRR/"/>
    </mc:Choice>
  </mc:AlternateContent>
  <xr:revisionPtr revIDLastSave="123" documentId="13_ncr:1_{8D11CD6D-716C-458E-B7FE-0105BDC2723B}" xr6:coauthVersionLast="47" xr6:coauthVersionMax="47" xr10:uidLastSave="{F8FC9E0B-6E09-45BB-B60B-405BF8E895AA}"/>
  <bookViews>
    <workbookView xWindow="-98" yWindow="-98" windowWidth="21795" windowHeight="11625" activeTab="3" xr2:uid="{00000000-000D-0000-FFFF-FFFF00000000}"/>
  </bookViews>
  <sheets>
    <sheet name="Samplesize" sheetId="1" r:id="rId1"/>
    <sheet name="Variable list" sheetId="3" r:id="rId2"/>
    <sheet name="pSSDM" sheetId="6" r:id="rId3"/>
    <sheet name="MPA" sheetId="10" r:id="rId4"/>
    <sheet name="MPAoverlap" sheetId="9" r:id="rId5"/>
    <sheet name="VIF" sheetId="2" r:id="rId6"/>
    <sheet name="Sheet2" sheetId="7" r:id="rId7"/>
    <sheet name="pSSDMraw" sheetId="5" r:id="rId8"/>
    <sheet name="Sheet3" sheetId="8" r:id="rId9"/>
  </sheets>
  <definedNames>
    <definedName name="v" localSheetId="8">Sheet3!$B$2:$K$5</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1" i="8" l="1"/>
  <c r="B11" i="8"/>
  <c r="C11" i="8"/>
  <c r="D11" i="8"/>
  <c r="E11" i="8"/>
  <c r="F11" i="8"/>
  <c r="G11" i="8"/>
  <c r="I11" i="8"/>
  <c r="J11" i="8"/>
  <c r="K11" i="8"/>
  <c r="B8" i="8"/>
  <c r="C8" i="8"/>
  <c r="D8" i="8"/>
  <c r="E8" i="8"/>
  <c r="F8" i="8"/>
  <c r="G8" i="8"/>
  <c r="H8" i="8"/>
  <c r="I8" i="8"/>
  <c r="J8" i="8"/>
  <c r="K8" i="8"/>
  <c r="B9" i="8"/>
  <c r="C9" i="8"/>
  <c r="D9" i="8"/>
  <c r="E9" i="8"/>
  <c r="F9" i="8"/>
  <c r="G9" i="8"/>
  <c r="H9" i="8"/>
  <c r="I9" i="8"/>
  <c r="J9" i="8"/>
  <c r="K9" i="8"/>
  <c r="B10" i="8"/>
  <c r="C10" i="8"/>
  <c r="D10" i="8"/>
  <c r="E10" i="8"/>
  <c r="F10" i="8"/>
  <c r="G10" i="8"/>
  <c r="H10" i="8"/>
  <c r="I10" i="8"/>
  <c r="J10" i="8"/>
  <c r="K10" i="8"/>
  <c r="B6" i="8"/>
  <c r="C6" i="8"/>
  <c r="D6" i="8"/>
  <c r="E6" i="8"/>
  <c r="F6" i="8"/>
  <c r="G6" i="8"/>
  <c r="H6" i="8"/>
  <c r="I6" i="8"/>
  <c r="J6" i="8"/>
  <c r="K6" i="8"/>
  <c r="B7" i="8"/>
  <c r="C7" i="8"/>
  <c r="D7" i="8"/>
  <c r="E7" i="8"/>
  <c r="F7" i="8"/>
  <c r="G7" i="8"/>
  <c r="H7" i="8"/>
  <c r="I7" i="8"/>
  <c r="J7" i="8"/>
  <c r="K7" i="8"/>
  <c r="C2" i="8"/>
  <c r="D2" i="8"/>
  <c r="E2" i="8"/>
  <c r="F2" i="8"/>
  <c r="G2" i="8"/>
  <c r="H2" i="8"/>
  <c r="I2" i="8"/>
  <c r="J2" i="8"/>
  <c r="K2" i="8"/>
  <c r="C3" i="8"/>
  <c r="D3" i="8"/>
  <c r="E3" i="8"/>
  <c r="F3" i="8"/>
  <c r="G3" i="8"/>
  <c r="H3" i="8"/>
  <c r="I3" i="8"/>
  <c r="J3" i="8"/>
  <c r="K3" i="8"/>
  <c r="C4" i="8"/>
  <c r="D4" i="8"/>
  <c r="E4" i="8"/>
  <c r="F4" i="8"/>
  <c r="G4" i="8"/>
  <c r="H4" i="8"/>
  <c r="I4" i="8"/>
  <c r="J4" i="8"/>
  <c r="K4" i="8"/>
  <c r="C5" i="8"/>
  <c r="D5" i="8"/>
  <c r="E5" i="8"/>
  <c r="F5" i="8"/>
  <c r="G5" i="8"/>
  <c r="H5" i="8"/>
  <c r="I5" i="8"/>
  <c r="J5" i="8"/>
  <c r="K5" i="8"/>
  <c r="B3" i="8"/>
  <c r="B4" i="8"/>
  <c r="B5" i="8"/>
  <c r="B2" i="8"/>
</calcChain>
</file>

<file path=xl/sharedStrings.xml><?xml version="1.0" encoding="utf-8"?>
<sst xmlns="http://schemas.openxmlformats.org/spreadsheetml/2006/main" count="325" uniqueCount="208">
  <si>
    <t>Total</t>
  </si>
  <si>
    <t>Dataset</t>
  </si>
  <si>
    <t>Other</t>
  </si>
  <si>
    <t>Parapercis colias</t>
  </si>
  <si>
    <t>Argentina elongata</t>
  </si>
  <si>
    <t>Seriolella brama</t>
  </si>
  <si>
    <t>Emmelichthys nitidus</t>
  </si>
  <si>
    <t>Pseudophycis bachus</t>
  </si>
  <si>
    <t>Blue Cod</t>
  </si>
  <si>
    <t>Silverside</t>
  </si>
  <si>
    <t>Blue Warehou</t>
  </si>
  <si>
    <t>Red Cod</t>
  </si>
  <si>
    <t>Final</t>
  </si>
  <si>
    <t>Ministry for Primary Industries (2014a)</t>
  </si>
  <si>
    <t>Ministry for Primary Industries (2014b)</t>
  </si>
  <si>
    <t>Redbait</t>
  </si>
  <si>
    <t>Variables</t>
  </si>
  <si>
    <t>Variable inflation factors (VIF) for all candidate variables and final variables (shaded gray) used in models. #</t>
  </si>
  <si>
    <t>bathymetry</t>
  </si>
  <si>
    <t>currents</t>
  </si>
  <si>
    <t>sf_do</t>
  </si>
  <si>
    <t>sf_nitrogen</t>
  </si>
  <si>
    <t>sf_salinity</t>
  </si>
  <si>
    <t>sf_temp</t>
  </si>
  <si>
    <t>sf_aragonite</t>
  </si>
  <si>
    <t>sf_silicate</t>
  </si>
  <si>
    <t>VIF - all variables</t>
  </si>
  <si>
    <t>VIF - final variables</t>
  </si>
  <si>
    <t>sf_argonite</t>
  </si>
  <si>
    <t>Variable Name</t>
  </si>
  <si>
    <t>Variable Abbreviation</t>
  </si>
  <si>
    <t>Units</t>
  </si>
  <si>
    <t>Native Resolution</t>
  </si>
  <si>
    <t>Description and Citation</t>
  </si>
  <si>
    <t>Source</t>
  </si>
  <si>
    <t>Bathymetry</t>
  </si>
  <si>
    <t>m</t>
  </si>
  <si>
    <t>250m</t>
  </si>
  <si>
    <t>Depth at the seafloor interpolated using multibeam and single-beam survey data from various sources (Mitchell et al. 2012).</t>
  </si>
  <si>
    <t>National Institute of Water and Atmospheric Research (NIWA)</t>
  </si>
  <si>
    <t>1km</t>
  </si>
  <si>
    <t>Dissolved oxygen at depth</t>
  </si>
  <si>
    <t>ml/l</t>
  </si>
  <si>
    <t>Annual average water dissolved oxygen concentration at the seafloor based on methods from Ridgway et al. (2002). Original oceanographic data sourced from the Commonwealth Scientific and Industrial Research Organisation (CSIRO) Atlas of Regional Seas (CARS2009).</t>
  </si>
  <si>
    <t>Stephenson et al. (2018); NIWA, unpublished</t>
  </si>
  <si>
    <t>Tidal current speed</t>
  </si>
  <si>
    <t>m/s</t>
  </si>
  <si>
    <t>Maximum depth-averaged (NZ bathymetry) flows from tidal currents calculated from a tidal model for New Zealand waters (Walters et al., 2001).</t>
  </si>
  <si>
    <t>°C</t>
  </si>
  <si>
    <t>500m</t>
  </si>
  <si>
    <t>NIWA, unpublished</t>
  </si>
  <si>
    <t>ntu</t>
  </si>
  <si>
    <t>mg/m3</t>
  </si>
  <si>
    <t>Temperature at depth</t>
  </si>
  <si>
    <t>Nitrogen concentration at depth</t>
  </si>
  <si>
    <t>umol/l</t>
  </si>
  <si>
    <t>Salinity at depth</t>
  </si>
  <si>
    <t>psu</t>
  </si>
  <si>
    <t>Silicate concentration at depth</t>
  </si>
  <si>
    <t>30 arcsec</t>
  </si>
  <si>
    <t xml:space="preserve">Silica (influences marine primary productivity) original data sourced from the World Ocean Atlas 2005 at 1 degree resolution (Garcia et al. 2006) and interpolated to 30 arc-second resolution (Davies et al. 2011). </t>
  </si>
  <si>
    <t>Living Atlas of the World (https://livingatlas.arcgis.com)</t>
  </si>
  <si>
    <t>Aragonite saturation at depth</t>
  </si>
  <si>
    <t>omega</t>
  </si>
  <si>
    <r>
      <t xml:space="preserve">Carbonate mineral (saturation state </t>
    </r>
    <r>
      <rPr>
        <sz val="10"/>
        <color theme="1"/>
        <rFont val="Calibri"/>
        <family val="2"/>
      </rPr>
      <t>Ω</t>
    </r>
    <r>
      <rPr>
        <sz val="10"/>
        <color theme="1"/>
        <rFont val="Calibri"/>
        <family val="2"/>
        <scheme val="minor"/>
      </rPr>
      <t xml:space="preserve"> used to track ocean acidification) original data sourced from the World Ocean Atlas 2005 at 1 degree resolution (Orr et al. 2005) and interpolated to 30 arc-second resolution (Davies et al. 2011). </t>
    </r>
  </si>
  <si>
    <t>National Institute of Water and Atmospheric Research (2014)</t>
  </si>
  <si>
    <t>SWPRON (2017); Anderson et al. (1998)</t>
  </si>
  <si>
    <t>species.richness.error</t>
  </si>
  <si>
    <t>prediction.success</t>
  </si>
  <si>
    <t>kappa</t>
  </si>
  <si>
    <t>specificity</t>
  </si>
  <si>
    <t>sensitivity</t>
  </si>
  <si>
    <t>Jaccard</t>
  </si>
  <si>
    <t>mean</t>
  </si>
  <si>
    <t>SD</t>
  </si>
  <si>
    <t>PRR-pSSDM results</t>
  </si>
  <si>
    <t>sf_oxygen</t>
  </si>
  <si>
    <t>chla_max</t>
  </si>
  <si>
    <t>chla_mean</t>
  </si>
  <si>
    <t>chla_min</t>
  </si>
  <si>
    <t>sst_max</t>
  </si>
  <si>
    <t>sst_mean</t>
  </si>
  <si>
    <t>sst_min</t>
  </si>
  <si>
    <t>turb_max</t>
  </si>
  <si>
    <t>turb_mean</t>
  </si>
  <si>
    <t>turb_min</t>
  </si>
  <si>
    <t>X</t>
  </si>
  <si>
    <t>threshold</t>
  </si>
  <si>
    <t>AUC</t>
  </si>
  <si>
    <t>omission.rate</t>
  </si>
  <si>
    <t>prop.correct</t>
  </si>
  <si>
    <t>Kappa</t>
  </si>
  <si>
    <t>calibration</t>
  </si>
  <si>
    <t>kept.model</t>
  </si>
  <si>
    <t>species</t>
  </si>
  <si>
    <t>common</t>
  </si>
  <si>
    <t>common_short</t>
  </si>
  <si>
    <t>scientific</t>
  </si>
  <si>
    <t>silverside</t>
  </si>
  <si>
    <t>ss</t>
  </si>
  <si>
    <t>redbait</t>
  </si>
  <si>
    <t>rb</t>
  </si>
  <si>
    <t>blue cod</t>
  </si>
  <si>
    <t>bluecod</t>
  </si>
  <si>
    <t>bc</t>
  </si>
  <si>
    <t>red cod</t>
  </si>
  <si>
    <t>redcod</t>
  </si>
  <si>
    <t>rc</t>
  </si>
  <si>
    <t>blue warehou</t>
  </si>
  <si>
    <t>bluewarehou</t>
  </si>
  <si>
    <t>bw</t>
  </si>
  <si>
    <t>PRR-pSSDM (all prey)</t>
  </si>
  <si>
    <t>x</t>
  </si>
  <si>
    <t>Blue cod</t>
  </si>
  <si>
    <t>Red cod</t>
  </si>
  <si>
    <t>Blue warehou</t>
  </si>
  <si>
    <t>Threshold</t>
  </si>
  <si>
    <t>Sensitivity</t>
  </si>
  <si>
    <t>Specificity</t>
  </si>
  <si>
    <t>Species</t>
  </si>
  <si>
    <t>D</t>
  </si>
  <si>
    <t>I</t>
  </si>
  <si>
    <t>Rank.cor</t>
  </si>
  <si>
    <t>Penguin POP x Prey Richness</t>
  </si>
  <si>
    <t>MPI NZ reseach tagging database (1965-2013)</t>
  </si>
  <si>
    <t>Opalfish</t>
  </si>
  <si>
    <t>Hemerocoetes monopterygius</t>
  </si>
  <si>
    <t>Sprattus sp.</t>
  </si>
  <si>
    <t>Sprat</t>
  </si>
  <si>
    <t>Full</t>
  </si>
  <si>
    <t>NIWA/MPI research bottom trawl surveys (1964-2008)</t>
  </si>
  <si>
    <t>NIWA/MPI Soviet trawl fisheries data (1964-1987)</t>
  </si>
  <si>
    <t>NIWA/MPI research trawl surveys (2008-2018)</t>
  </si>
  <si>
    <t>opalfish</t>
  </si>
  <si>
    <t>op</t>
  </si>
  <si>
    <t>sprat</t>
  </si>
  <si>
    <t>sp</t>
  </si>
  <si>
    <t>Type_short</t>
  </si>
  <si>
    <t>n</t>
  </si>
  <si>
    <t>Area_overlap</t>
  </si>
  <si>
    <t>Type 1 MPA</t>
  </si>
  <si>
    <t>Type 2 MPA</t>
  </si>
  <si>
    <t>Total_area</t>
  </si>
  <si>
    <t>Area_percentMPA</t>
  </si>
  <si>
    <t>Area_percentPenguin</t>
  </si>
  <si>
    <t>Established MPAs</t>
  </si>
  <si>
    <t>MPA_ref</t>
  </si>
  <si>
    <t xml:space="preserve"> 1-4</t>
  </si>
  <si>
    <t>5, 6</t>
  </si>
  <si>
    <t xml:space="preserve"> 7-10</t>
  </si>
  <si>
    <t xml:space="preserve"> 11-13</t>
  </si>
  <si>
    <t>A, C, E, L, Q</t>
  </si>
  <si>
    <t>B, D, H, I, K, M</t>
  </si>
  <si>
    <t>Total (Type 1 + 2)</t>
  </si>
  <si>
    <t>Marine Mammal Sanctuaries</t>
  </si>
  <si>
    <t>Proposed MPAs (SEMPA)</t>
  </si>
  <si>
    <t>Sea surface temperature mean</t>
  </si>
  <si>
    <t>Turbidity mean</t>
  </si>
  <si>
    <t>Chlorophyll-A mean</t>
  </si>
  <si>
    <t xml:space="preserve">Mean monthly chlorophyll-A concentrations from 2003-2018. This is a proxy for the amount of phytoplankton present in the ocean. Original monthly layers estimated from MODIS-Aqua satellite imagery (Pinkerton et al. 2018) were averaged in R. </t>
  </si>
  <si>
    <t>Mean monthly sea surface temperature from 2003-2018. Original monthly layers estimated from MODIS-Aqua satellite imagery (Pinkerton et al. 2018) were averaged in R.</t>
  </si>
  <si>
    <t xml:space="preserve">Mean monthly turbidity (nephelometric turbidity units) from 2003-2018. Measure of water clarity, particulate matter suspended in the water column. Original monthly layers estimated from MODIS-Aqua satellite imagery (Pinkerton et al. 2018) were averaged in R. </t>
  </si>
  <si>
    <t>Annual average salinty concentration at the seafloor, same methodolgy/source as dissolved oxygen at depth layer.</t>
  </si>
  <si>
    <t>Annual average water temperature at the seafloor, same methodolgy/source as dissolved oxygen at depth layer.</t>
  </si>
  <si>
    <t>Annual average water nitrate concentration at the seafloor, same methodolgy/source as dissolved oxygen at depth layer.</t>
  </si>
  <si>
    <t>Tuhawaiki Type 2 MPA</t>
  </si>
  <si>
    <t>Waitaki Marine Reserve</t>
  </si>
  <si>
    <t>Moko-tere-a-torehu Type 2 MPA</t>
  </si>
  <si>
    <t>Te Uma Koau Marine Reserve</t>
  </si>
  <si>
    <t>Kaimata Type 2 MPA</t>
  </si>
  <si>
    <t>Papanui Marine Reserve</t>
  </si>
  <si>
    <t>Okaihae Marine Reserve</t>
  </si>
  <si>
    <t>Whakatorea (estuary) Type 2 MPA</t>
  </si>
  <si>
    <t>Tahakopa Type 2 MPA</t>
  </si>
  <si>
    <t>Name</t>
  </si>
  <si>
    <t>Year Established</t>
  </si>
  <si>
    <t>Area (km2)</t>
  </si>
  <si>
    <t>Akaroa Marine Reserve</t>
  </si>
  <si>
    <t>Hikurangi Marine Reserve</t>
  </si>
  <si>
    <t>Ulva Island - Te Wharawhara Marine Reserve</t>
  </si>
  <si>
    <t>Paterson Inlet - Whaka a Te Wera Type 2 MPA</t>
  </si>
  <si>
    <r>
      <t>Te Whaka a Te Whera Type 2 MPA/M</t>
    </r>
    <r>
      <rPr>
        <sz val="12"/>
        <color theme="1"/>
        <rFont val="Calibri"/>
        <family val="2"/>
      </rPr>
      <t>ā</t>
    </r>
    <r>
      <rPr>
        <sz val="12"/>
        <color theme="1"/>
        <rFont val="Calibri"/>
        <family val="2"/>
        <scheme val="minor"/>
      </rPr>
      <t>taitai Reserve</t>
    </r>
  </si>
  <si>
    <t>Pōhatu Marine Reserve</t>
  </si>
  <si>
    <t>Banks Peninsula Marine Mammal Sanctuary</t>
  </si>
  <si>
    <t>Te Waewae Bay Marine Mammal Sanctuary</t>
  </si>
  <si>
    <t>Catlins Coast Marine Mammal Sanctuary</t>
  </si>
  <si>
    <t>Ōhau New Zealand Fur Seal Sanctuary</t>
  </si>
  <si>
    <t>Te Rohe o Te Whānau Puha Kaikoura Whale Sanctuary</t>
  </si>
  <si>
    <t>Kaikōura Marine Area - Te Whata Kai o Rakihouia i Te Tai o Marokura</t>
  </si>
  <si>
    <t>Kaikōura Mātaitai Reserves and taiāpure - Local Fisheries</t>
  </si>
  <si>
    <t>A</t>
  </si>
  <si>
    <t>B</t>
  </si>
  <si>
    <t>C</t>
  </si>
  <si>
    <t>E</t>
  </si>
  <si>
    <t>H</t>
  </si>
  <si>
    <t>K</t>
  </si>
  <si>
    <t>L</t>
  </si>
  <si>
    <t>M</t>
  </si>
  <si>
    <t>Q</t>
  </si>
  <si>
    <t>Ōrau Marine Reserve</t>
  </si>
  <si>
    <t>Hākinikini Marine Reserve</t>
  </si>
  <si>
    <t>Type 1 Marine Reserve - Marine Reserves Act 1971</t>
  </si>
  <si>
    <t>Type 2 MPA - Fisheries (Southland and Sub Antarctic Areas Commercial Fishing) Regulations 1986</t>
  </si>
  <si>
    <t>Type 2 MPA - Fisheries (Declaration of Mātaitai Reserve and Appointment of Tāngata Tiaki/Kaitiaki) Notice 2004</t>
  </si>
  <si>
    <t>Type 2 MPA - Fisheries Act 1986</t>
  </si>
  <si>
    <t>Marine Mammal Sanctuary - Marine Mammals Protection Act 1978</t>
  </si>
  <si>
    <t>Kaikōura (Te Tai o Marokura) Marine Management Act 2014</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</si>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</sst>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5"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8"/>
      <color rgb="FF000000"/>
      <name val="Lucida Console"/>
      <family val="3"/>
    </font>
    <font>
      <sz val="10"/>
      <color theme="1"/>
      <name val="Calibri"/>
      <family val="2"/>
      <scheme val="minor"/>
    </font>
    <font>
      <sz val="10"/>
      <color theme="1"/>
      <name val="Calibri"/>
      <family val="2"/>
    </font>
    <font>
      <sz val="11"/>
      <color rgb="FF2C2C2D"/>
      <name val="Times New Roman"/>
      <family val="1"/>
    </font>
    <font>
      <sz val="10"/>
      <color rgb="FF212529"/>
      <name val="Segoe UI"/>
      <family val="2"/>
    </font>
    <font>
      <sz val="8"/>
      <name val="Calibri"/>
      <family val="2"/>
      <scheme val="minor"/>
    </font>
    <font>
      <sz val="12"/>
      <color theme="1"/>
      <name val="Calibri"/>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0">
    <xf numFmtId="0" fontId="0" fillId="0" borderId="0" xfId="0"/>
    <xf numFmtId="0" fontId="18" fillId="0" borderId="0" xfId="0" applyFont="1" applyAlignment="1">
      <alignment vertical="center"/>
    </xf>
    <xf numFmtId="0" fontId="16" fillId="0" borderId="0" xfId="0" applyFont="1"/>
    <xf numFmtId="0" fontId="0" fillId="0" borderId="0" xfId="0" applyAlignment="1">
      <alignment horizontal="left" vertical="center" wrapText="1"/>
    </xf>
    <xf numFmtId="0" fontId="0" fillId="0" borderId="0" xfId="0" applyAlignment="1">
      <alignment wrapText="1"/>
    </xf>
    <xf numFmtId="0" fontId="16" fillId="0" borderId="0" xfId="0" applyFont="1" applyAlignment="1">
      <alignment horizontal="left" vertical="center" wrapText="1"/>
    </xf>
    <xf numFmtId="0" fontId="0" fillId="0" borderId="0" xfId="0" applyAlignment="1">
      <alignment horizontal="left" vertical="center"/>
    </xf>
    <xf numFmtId="164" fontId="0" fillId="0" borderId="0" xfId="0" applyNumberFormat="1" applyAlignment="1">
      <alignment horizontal="left" vertical="top" wrapText="1"/>
    </xf>
    <xf numFmtId="0" fontId="19" fillId="0" borderId="0" xfId="0" applyFont="1"/>
    <xf numFmtId="0" fontId="19" fillId="33" borderId="0" xfId="0" applyFont="1" applyFill="1" applyAlignment="1">
      <alignment horizontal="left" vertical="center" wrapText="1"/>
    </xf>
    <xf numFmtId="49" fontId="19" fillId="33" borderId="0" xfId="0" applyNumberFormat="1" applyFont="1" applyFill="1" applyAlignment="1">
      <alignment horizontal="left" vertical="center" wrapText="1"/>
    </xf>
    <xf numFmtId="0" fontId="19" fillId="0" borderId="0" xfId="0" applyFont="1" applyAlignment="1">
      <alignment wrapText="1"/>
    </xf>
    <xf numFmtId="0" fontId="19" fillId="0" borderId="0" xfId="0" applyFont="1" applyAlignment="1">
      <alignment horizontal="left" vertical="center" wrapText="1"/>
    </xf>
    <xf numFmtId="49" fontId="19" fillId="0" borderId="0" xfId="0" applyNumberFormat="1" applyFont="1" applyAlignment="1">
      <alignment horizontal="left" vertical="center" wrapText="1"/>
    </xf>
    <xf numFmtId="0" fontId="19" fillId="0" borderId="0" xfId="0" applyFont="1" applyAlignment="1">
      <alignment horizontal="center" vertical="center" wrapText="1"/>
    </xf>
    <xf numFmtId="0" fontId="21" fillId="0" borderId="0" xfId="0" applyFont="1"/>
    <xf numFmtId="0" fontId="22" fillId="0" borderId="0" xfId="0" applyFont="1"/>
    <xf numFmtId="2" fontId="0" fillId="0" borderId="0" xfId="0" applyNumberFormat="1"/>
    <xf numFmtId="16" fontId="0" fillId="0" borderId="0" xfId="0" applyNumberFormat="1"/>
    <xf numFmtId="0" fontId="24"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529685</xdr:colOff>
      <xdr:row>0</xdr:row>
      <xdr:rowOff>161925</xdr:rowOff>
    </xdr:from>
    <xdr:to>
      <xdr:col>18</xdr:col>
      <xdr:colOff>276224</xdr:colOff>
      <xdr:row>47</xdr:row>
      <xdr:rowOff>161926</xdr:rowOff>
    </xdr:to>
    <xdr:pic>
      <xdr:nvPicPr>
        <xdr:cNvPr id="3" name="Picture 2">
          <a:extLst>
            <a:ext uri="{FF2B5EF4-FFF2-40B4-BE49-F238E27FC236}">
              <a16:creationId xmlns:a16="http://schemas.microsoft.com/office/drawing/2014/main" id="{758E29EF-C86C-CD33-8427-C8493E95E7E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58685" y="161925"/>
          <a:ext cx="7976139" cy="94011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P17"/>
  <sheetViews>
    <sheetView workbookViewId="0">
      <selection activeCell="B22" sqref="B22"/>
    </sheetView>
  </sheetViews>
  <sheetFormatPr defaultRowHeight="15.75" x14ac:dyDescent="0.5"/>
  <cols>
    <col min="1" max="1" width="7.6875" customWidth="1"/>
    <col min="2" max="2" width="38.8125" bestFit="1" customWidth="1"/>
  </cols>
  <sheetData>
    <row r="2" spans="2:16" x14ac:dyDescent="0.5">
      <c r="C2" t="s">
        <v>8</v>
      </c>
      <c r="D2" t="s">
        <v>8</v>
      </c>
      <c r="E2" t="s">
        <v>10</v>
      </c>
      <c r="F2" t="s">
        <v>10</v>
      </c>
      <c r="G2" t="s">
        <v>125</v>
      </c>
      <c r="H2" t="s">
        <v>125</v>
      </c>
      <c r="I2" t="s">
        <v>15</v>
      </c>
      <c r="J2" t="s">
        <v>15</v>
      </c>
      <c r="K2" t="s">
        <v>11</v>
      </c>
      <c r="L2" t="s">
        <v>11</v>
      </c>
      <c r="M2" t="s">
        <v>128</v>
      </c>
      <c r="N2" t="s">
        <v>128</v>
      </c>
      <c r="O2" t="s">
        <v>9</v>
      </c>
      <c r="P2" t="s">
        <v>9</v>
      </c>
    </row>
    <row r="3" spans="2:16" x14ac:dyDescent="0.5">
      <c r="C3" s="1" t="s">
        <v>3</v>
      </c>
      <c r="D3" s="1" t="s">
        <v>3</v>
      </c>
      <c r="E3" s="1" t="s">
        <v>5</v>
      </c>
      <c r="F3" s="1" t="s">
        <v>5</v>
      </c>
      <c r="G3" s="1" t="s">
        <v>126</v>
      </c>
      <c r="H3" s="1" t="s">
        <v>126</v>
      </c>
      <c r="I3" s="1" t="s">
        <v>6</v>
      </c>
      <c r="J3" s="1" t="s">
        <v>6</v>
      </c>
      <c r="K3" s="1" t="s">
        <v>7</v>
      </c>
      <c r="L3" s="1" t="s">
        <v>7</v>
      </c>
      <c r="M3" s="1" t="s">
        <v>127</v>
      </c>
      <c r="N3" s="1" t="s">
        <v>127</v>
      </c>
      <c r="O3" s="1" t="s">
        <v>4</v>
      </c>
      <c r="P3" s="1" t="s">
        <v>4</v>
      </c>
    </row>
    <row r="4" spans="2:16" x14ac:dyDescent="0.5">
      <c r="B4" t="s">
        <v>1</v>
      </c>
      <c r="C4" t="s">
        <v>129</v>
      </c>
      <c r="D4" t="s">
        <v>12</v>
      </c>
      <c r="E4" t="s">
        <v>129</v>
      </c>
      <c r="F4" t="s">
        <v>12</v>
      </c>
      <c r="G4" t="s">
        <v>129</v>
      </c>
      <c r="H4" t="s">
        <v>12</v>
      </c>
      <c r="I4" t="s">
        <v>129</v>
      </c>
      <c r="J4" t="s">
        <v>12</v>
      </c>
      <c r="K4" t="s">
        <v>129</v>
      </c>
      <c r="L4" t="s">
        <v>12</v>
      </c>
      <c r="M4" t="s">
        <v>129</v>
      </c>
      <c r="N4" t="s">
        <v>12</v>
      </c>
      <c r="O4" t="s">
        <v>129</v>
      </c>
      <c r="P4" t="s">
        <v>12</v>
      </c>
    </row>
    <row r="5" spans="2:16" x14ac:dyDescent="0.5">
      <c r="B5" t="s">
        <v>130</v>
      </c>
      <c r="C5">
        <v>2300</v>
      </c>
      <c r="D5">
        <v>467</v>
      </c>
      <c r="E5">
        <v>2076</v>
      </c>
      <c r="F5">
        <v>969</v>
      </c>
      <c r="G5">
        <v>687</v>
      </c>
      <c r="H5">
        <v>115</v>
      </c>
      <c r="I5">
        <v>914</v>
      </c>
      <c r="J5">
        <v>148</v>
      </c>
      <c r="K5">
        <v>5763</v>
      </c>
      <c r="L5">
        <v>1794</v>
      </c>
      <c r="M5">
        <v>746</v>
      </c>
      <c r="N5">
        <v>302</v>
      </c>
      <c r="O5">
        <v>5133</v>
      </c>
      <c r="P5">
        <v>589</v>
      </c>
    </row>
    <row r="6" spans="2:16" x14ac:dyDescent="0.5">
      <c r="B6" t="s">
        <v>132</v>
      </c>
      <c r="C6">
        <v>6049</v>
      </c>
      <c r="D6">
        <v>1129</v>
      </c>
      <c r="E6">
        <v>334</v>
      </c>
      <c r="F6">
        <v>120</v>
      </c>
      <c r="G6">
        <v>0</v>
      </c>
      <c r="H6">
        <v>0</v>
      </c>
      <c r="I6">
        <v>252</v>
      </c>
      <c r="J6">
        <v>11</v>
      </c>
      <c r="K6">
        <v>1228</v>
      </c>
      <c r="L6">
        <v>381</v>
      </c>
      <c r="M6">
        <v>0</v>
      </c>
      <c r="N6">
        <v>0</v>
      </c>
      <c r="O6">
        <v>1372</v>
      </c>
      <c r="P6">
        <v>221</v>
      </c>
    </row>
    <row r="7" spans="2:16" x14ac:dyDescent="0.5">
      <c r="B7" t="s">
        <v>131</v>
      </c>
      <c r="C7">
        <v>393</v>
      </c>
      <c r="D7">
        <v>93</v>
      </c>
      <c r="E7">
        <v>766</v>
      </c>
      <c r="F7">
        <v>189</v>
      </c>
      <c r="G7">
        <v>0</v>
      </c>
      <c r="H7">
        <v>0</v>
      </c>
      <c r="I7">
        <v>328</v>
      </c>
      <c r="J7">
        <v>15</v>
      </c>
      <c r="K7">
        <v>1901</v>
      </c>
      <c r="L7">
        <v>590</v>
      </c>
      <c r="M7">
        <v>0</v>
      </c>
      <c r="N7">
        <v>0</v>
      </c>
      <c r="O7">
        <v>3635</v>
      </c>
      <c r="P7">
        <v>358</v>
      </c>
    </row>
    <row r="8" spans="2:16" x14ac:dyDescent="0.5">
      <c r="B8" t="s">
        <v>124</v>
      </c>
      <c r="C8">
        <v>17366</v>
      </c>
      <c r="D8">
        <v>187</v>
      </c>
      <c r="E8">
        <v>0</v>
      </c>
      <c r="F8">
        <v>0</v>
      </c>
      <c r="G8">
        <v>0</v>
      </c>
      <c r="H8">
        <v>0</v>
      </c>
      <c r="I8">
        <v>0</v>
      </c>
      <c r="J8">
        <v>0</v>
      </c>
      <c r="K8">
        <v>0</v>
      </c>
      <c r="L8">
        <v>0</v>
      </c>
      <c r="M8">
        <v>0</v>
      </c>
      <c r="N8">
        <v>0</v>
      </c>
      <c r="O8">
        <v>0</v>
      </c>
      <c r="P8">
        <v>0</v>
      </c>
    </row>
    <row r="9" spans="2:16" x14ac:dyDescent="0.5">
      <c r="B9" t="s">
        <v>2</v>
      </c>
      <c r="C9">
        <v>299</v>
      </c>
      <c r="D9">
        <v>0</v>
      </c>
      <c r="E9">
        <v>1778</v>
      </c>
      <c r="F9">
        <v>0</v>
      </c>
      <c r="G9">
        <v>0</v>
      </c>
      <c r="H9">
        <v>0</v>
      </c>
      <c r="I9">
        <v>1945</v>
      </c>
      <c r="J9">
        <v>0</v>
      </c>
      <c r="K9">
        <v>4694</v>
      </c>
      <c r="L9">
        <v>0</v>
      </c>
      <c r="M9">
        <v>0</v>
      </c>
      <c r="N9">
        <v>0</v>
      </c>
      <c r="O9">
        <v>60</v>
      </c>
      <c r="P9">
        <v>0</v>
      </c>
    </row>
    <row r="10" spans="2:16" x14ac:dyDescent="0.5">
      <c r="B10" t="s">
        <v>0</v>
      </c>
      <c r="C10">
        <v>28707</v>
      </c>
      <c r="D10" s="2">
        <v>1876</v>
      </c>
      <c r="E10">
        <v>7030</v>
      </c>
      <c r="F10" s="2">
        <v>1278</v>
      </c>
      <c r="G10">
        <v>687</v>
      </c>
      <c r="H10" s="2">
        <v>115</v>
      </c>
      <c r="I10">
        <v>4353</v>
      </c>
      <c r="J10" s="2">
        <v>174</v>
      </c>
      <c r="K10">
        <v>19473</v>
      </c>
      <c r="L10" s="2">
        <v>2765</v>
      </c>
      <c r="M10">
        <v>746</v>
      </c>
      <c r="N10" s="2">
        <v>302</v>
      </c>
      <c r="O10">
        <v>15333</v>
      </c>
      <c r="P10" s="2">
        <v>1168</v>
      </c>
    </row>
    <row r="14" spans="2:16" x14ac:dyDescent="0.5">
      <c r="B14" t="s">
        <v>65</v>
      </c>
    </row>
    <row r="15" spans="2:16" x14ac:dyDescent="0.5">
      <c r="B15" t="s">
        <v>66</v>
      </c>
    </row>
    <row r="16" spans="2:16" x14ac:dyDescent="0.5">
      <c r="B16" t="s">
        <v>14</v>
      </c>
    </row>
    <row r="17" spans="2:2" x14ac:dyDescent="0.5">
      <c r="B17" t="s">
        <v>13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G12"/>
  <sheetViews>
    <sheetView zoomScale="80" zoomScaleNormal="80" workbookViewId="0">
      <selection activeCell="E11" sqref="E11"/>
    </sheetView>
  </sheetViews>
  <sheetFormatPr defaultColWidth="16.8125" defaultRowHeight="36.6" customHeight="1" x14ac:dyDescent="0.4"/>
  <cols>
    <col min="1" max="4" width="16.8125" style="8"/>
    <col min="5" max="5" width="93.875" style="8" customWidth="1"/>
    <col min="6" max="16384" width="16.8125" style="8"/>
  </cols>
  <sheetData>
    <row r="1" spans="1:7" ht="36.6" customHeight="1" x14ac:dyDescent="0.4">
      <c r="A1" s="14" t="s">
        <v>29</v>
      </c>
      <c r="B1" s="14" t="s">
        <v>30</v>
      </c>
      <c r="C1" s="14" t="s">
        <v>31</v>
      </c>
      <c r="D1" s="14" t="s">
        <v>32</v>
      </c>
      <c r="E1" s="14" t="s">
        <v>33</v>
      </c>
      <c r="F1" s="14" t="s">
        <v>34</v>
      </c>
      <c r="G1" s="14"/>
    </row>
    <row r="2" spans="1:7" ht="36.6" customHeight="1" x14ac:dyDescent="0.4">
      <c r="A2" s="9" t="s">
        <v>35</v>
      </c>
      <c r="B2" s="9" t="s">
        <v>18</v>
      </c>
      <c r="C2" s="10" t="s">
        <v>36</v>
      </c>
      <c r="D2" s="9" t="s">
        <v>37</v>
      </c>
      <c r="E2" s="9" t="s">
        <v>38</v>
      </c>
      <c r="F2" s="9" t="s">
        <v>39</v>
      </c>
      <c r="G2" s="11"/>
    </row>
    <row r="3" spans="1:7" ht="36.6" customHeight="1" x14ac:dyDescent="0.4">
      <c r="A3" s="9" t="s">
        <v>45</v>
      </c>
      <c r="B3" s="9" t="s">
        <v>19</v>
      </c>
      <c r="C3" s="10" t="s">
        <v>46</v>
      </c>
      <c r="D3" s="9" t="s">
        <v>40</v>
      </c>
      <c r="E3" s="9" t="s">
        <v>47</v>
      </c>
      <c r="F3" s="9" t="s">
        <v>44</v>
      </c>
      <c r="G3" s="11"/>
    </row>
    <row r="4" spans="1:7" ht="36.6" customHeight="1" x14ac:dyDescent="0.4">
      <c r="A4" s="9" t="s">
        <v>41</v>
      </c>
      <c r="B4" s="9" t="s">
        <v>20</v>
      </c>
      <c r="C4" s="10" t="s">
        <v>42</v>
      </c>
      <c r="D4" s="9" t="s">
        <v>40</v>
      </c>
      <c r="E4" s="9" t="s">
        <v>43</v>
      </c>
      <c r="F4" s="9" t="s">
        <v>44</v>
      </c>
      <c r="G4" s="11"/>
    </row>
    <row r="5" spans="1:7" ht="36.6" customHeight="1" x14ac:dyDescent="0.4">
      <c r="A5" s="9" t="s">
        <v>56</v>
      </c>
      <c r="B5" s="9" t="s">
        <v>22</v>
      </c>
      <c r="C5" s="10" t="s">
        <v>57</v>
      </c>
      <c r="D5" s="9" t="s">
        <v>40</v>
      </c>
      <c r="E5" s="9" t="s">
        <v>162</v>
      </c>
      <c r="F5" s="9" t="s">
        <v>44</v>
      </c>
      <c r="G5" s="11"/>
    </row>
    <row r="6" spans="1:7" ht="36.6" customHeight="1" x14ac:dyDescent="0.4">
      <c r="A6" s="9" t="s">
        <v>158</v>
      </c>
      <c r="B6" s="9" t="s">
        <v>78</v>
      </c>
      <c r="C6" s="10" t="s">
        <v>52</v>
      </c>
      <c r="D6" s="9" t="s">
        <v>49</v>
      </c>
      <c r="E6" s="9" t="s">
        <v>159</v>
      </c>
      <c r="F6" s="9" t="s">
        <v>50</v>
      </c>
      <c r="G6" s="11"/>
    </row>
    <row r="7" spans="1:7" ht="36.6" customHeight="1" x14ac:dyDescent="0.4">
      <c r="A7" s="9" t="s">
        <v>156</v>
      </c>
      <c r="B7" s="9" t="s">
        <v>81</v>
      </c>
      <c r="C7" s="9" t="s">
        <v>48</v>
      </c>
      <c r="D7" s="9" t="s">
        <v>49</v>
      </c>
      <c r="E7" s="9" t="s">
        <v>160</v>
      </c>
      <c r="F7" s="9" t="s">
        <v>50</v>
      </c>
      <c r="G7" s="11"/>
    </row>
    <row r="8" spans="1:7" ht="36.6" customHeight="1" x14ac:dyDescent="0.4">
      <c r="A8" s="9" t="s">
        <v>157</v>
      </c>
      <c r="B8" s="9" t="s">
        <v>84</v>
      </c>
      <c r="C8" s="9" t="s">
        <v>51</v>
      </c>
      <c r="D8" s="9" t="s">
        <v>49</v>
      </c>
      <c r="E8" s="9" t="s">
        <v>161</v>
      </c>
      <c r="F8" s="9" t="s">
        <v>50</v>
      </c>
      <c r="G8" s="11"/>
    </row>
    <row r="9" spans="1:7" ht="36.6" customHeight="1" x14ac:dyDescent="0.4">
      <c r="A9" s="12" t="s">
        <v>53</v>
      </c>
      <c r="B9" s="12" t="s">
        <v>23</v>
      </c>
      <c r="C9" s="13" t="s">
        <v>48</v>
      </c>
      <c r="D9" s="12" t="s">
        <v>40</v>
      </c>
      <c r="E9" s="12" t="s">
        <v>163</v>
      </c>
      <c r="F9" s="12" t="s">
        <v>44</v>
      </c>
      <c r="G9" s="11"/>
    </row>
    <row r="10" spans="1:7" ht="36.6" customHeight="1" x14ac:dyDescent="0.4">
      <c r="A10" s="12" t="s">
        <v>54</v>
      </c>
      <c r="B10" s="12" t="s">
        <v>21</v>
      </c>
      <c r="C10" s="13" t="s">
        <v>55</v>
      </c>
      <c r="D10" s="12" t="s">
        <v>40</v>
      </c>
      <c r="E10" s="12" t="s">
        <v>164</v>
      </c>
      <c r="F10" s="12" t="s">
        <v>44</v>
      </c>
      <c r="G10" s="11"/>
    </row>
    <row r="11" spans="1:7" ht="36.6" customHeight="1" x14ac:dyDescent="0.4">
      <c r="A11" s="12" t="s">
        <v>58</v>
      </c>
      <c r="B11" s="12" t="s">
        <v>25</v>
      </c>
      <c r="C11" s="13" t="s">
        <v>55</v>
      </c>
      <c r="D11" s="12" t="s">
        <v>59</v>
      </c>
      <c r="E11" s="12" t="s">
        <v>60</v>
      </c>
      <c r="F11" s="12" t="s">
        <v>61</v>
      </c>
      <c r="G11" s="11"/>
    </row>
    <row r="12" spans="1:7" ht="36.6" customHeight="1" x14ac:dyDescent="0.4">
      <c r="A12" s="12" t="s">
        <v>62</v>
      </c>
      <c r="B12" s="12" t="s">
        <v>24</v>
      </c>
      <c r="C12" s="13" t="s">
        <v>63</v>
      </c>
      <c r="D12" s="12" t="s">
        <v>59</v>
      </c>
      <c r="E12" s="12" t="s">
        <v>64</v>
      </c>
      <c r="F12" s="12" t="s">
        <v>61</v>
      </c>
      <c r="G12" s="11"/>
    </row>
  </sheetData>
  <pageMargins left="0.7" right="0.7" top="0.75" bottom="0.75" header="0.3" footer="0.3"/>
  <pageSetup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6913D-1A45-4AB8-A92C-64B67612DA17}">
  <sheetPr codeName="Sheet4"/>
  <dimension ref="A1:I19"/>
  <sheetViews>
    <sheetView workbookViewId="0">
      <selection activeCell="C14" sqref="C14"/>
    </sheetView>
  </sheetViews>
  <sheetFormatPr defaultRowHeight="15.75" x14ac:dyDescent="0.5"/>
  <cols>
    <col min="1" max="1" width="19.6875" customWidth="1"/>
  </cols>
  <sheetData>
    <row r="1" spans="1:9" x14ac:dyDescent="0.5">
      <c r="A1" t="s">
        <v>75</v>
      </c>
    </row>
    <row r="3" spans="1:9" x14ac:dyDescent="0.5">
      <c r="A3" t="s">
        <v>119</v>
      </c>
      <c r="B3" t="s">
        <v>112</v>
      </c>
      <c r="C3" t="s">
        <v>116</v>
      </c>
      <c r="D3" t="s">
        <v>88</v>
      </c>
      <c r="E3" t="s">
        <v>117</v>
      </c>
      <c r="F3" t="s">
        <v>118</v>
      </c>
      <c r="G3" t="s">
        <v>91</v>
      </c>
      <c r="H3" t="s">
        <v>89</v>
      </c>
      <c r="I3" t="s">
        <v>90</v>
      </c>
    </row>
    <row r="4" spans="1:9" x14ac:dyDescent="0.5">
      <c r="A4" t="s">
        <v>113</v>
      </c>
      <c r="B4" t="s">
        <v>3</v>
      </c>
      <c r="C4">
        <v>0.45954041945357699</v>
      </c>
      <c r="D4">
        <v>0.79593543024354796</v>
      </c>
      <c r="E4">
        <v>0.69665502900090404</v>
      </c>
      <c r="F4">
        <v>0.59878110110805904</v>
      </c>
      <c r="G4">
        <v>7.0284670603166594E-2</v>
      </c>
      <c r="H4">
        <v>0.39864884326933597</v>
      </c>
      <c r="I4">
        <v>0.60135115673066397</v>
      </c>
    </row>
    <row r="5" spans="1:9" x14ac:dyDescent="0.5">
      <c r="A5" t="s">
        <v>115</v>
      </c>
      <c r="B5" t="s">
        <v>5</v>
      </c>
      <c r="C5">
        <v>0.59761836359999998</v>
      </c>
      <c r="D5">
        <v>0.75940397246338298</v>
      </c>
      <c r="E5">
        <v>0.68747129509066796</v>
      </c>
      <c r="F5">
        <v>0.57168921807947204</v>
      </c>
      <c r="G5">
        <v>4.1328554307958398E-2</v>
      </c>
      <c r="H5">
        <v>0.42599565103453002</v>
      </c>
      <c r="I5">
        <v>0.57400434896547003</v>
      </c>
    </row>
    <row r="6" spans="1:9" x14ac:dyDescent="0.5">
      <c r="A6" t="s">
        <v>125</v>
      </c>
      <c r="B6" t="s">
        <v>126</v>
      </c>
      <c r="C6">
        <v>0.433002296729537</v>
      </c>
      <c r="D6">
        <v>0.85314706362140502</v>
      </c>
      <c r="E6">
        <v>0.84014536310497501</v>
      </c>
      <c r="F6">
        <v>0.51105911137134796</v>
      </c>
      <c r="G6">
        <v>5.2483609296859702E-3</v>
      </c>
      <c r="H6">
        <v>0.48833929557805</v>
      </c>
      <c r="I6">
        <v>0.51166070442195</v>
      </c>
    </row>
    <row r="7" spans="1:9" x14ac:dyDescent="0.5">
      <c r="A7" t="s">
        <v>15</v>
      </c>
      <c r="B7" t="s">
        <v>6</v>
      </c>
      <c r="C7">
        <v>0.43074570940000001</v>
      </c>
      <c r="D7">
        <v>0.81002545997287301</v>
      </c>
      <c r="E7">
        <v>0.79431908124466499</v>
      </c>
      <c r="F7">
        <v>0.51494676554495</v>
      </c>
      <c r="G7">
        <v>6.9759971468905E-3</v>
      </c>
      <c r="H7">
        <v>0.48431803427498099</v>
      </c>
      <c r="I7">
        <v>0.51568196572501901</v>
      </c>
    </row>
    <row r="8" spans="1:9" x14ac:dyDescent="0.5">
      <c r="A8" t="s">
        <v>114</v>
      </c>
      <c r="B8" t="s">
        <v>7</v>
      </c>
      <c r="C8">
        <v>0.48863506985897598</v>
      </c>
      <c r="D8">
        <v>0.78026802409907803</v>
      </c>
      <c r="E8">
        <v>0.65354174807273402</v>
      </c>
      <c r="F8">
        <v>0.62654757541763995</v>
      </c>
      <c r="G8">
        <v>7.9934784499560305E-2</v>
      </c>
      <c r="H8">
        <v>0.37231127174370698</v>
      </c>
      <c r="I8">
        <v>0.62768872825629296</v>
      </c>
    </row>
    <row r="9" spans="1:9" x14ac:dyDescent="0.5">
      <c r="A9" t="s">
        <v>9</v>
      </c>
      <c r="B9" t="s">
        <v>4</v>
      </c>
      <c r="C9">
        <v>0.38592275917832197</v>
      </c>
      <c r="D9">
        <v>0.86641814906314696</v>
      </c>
      <c r="E9">
        <v>0.77137452577443699</v>
      </c>
      <c r="F9">
        <v>0.59374870362222398</v>
      </c>
      <c r="G9">
        <v>6.4420752827030206E-2</v>
      </c>
      <c r="H9">
        <v>0.40300735614062899</v>
      </c>
      <c r="I9">
        <v>0.59699264385937101</v>
      </c>
    </row>
    <row r="10" spans="1:9" x14ac:dyDescent="0.5">
      <c r="A10" t="s">
        <v>128</v>
      </c>
      <c r="B10" t="s">
        <v>127</v>
      </c>
      <c r="C10">
        <v>0.22437254238142201</v>
      </c>
      <c r="D10">
        <v>0.93752364404614397</v>
      </c>
      <c r="E10">
        <v>0.89933690843984404</v>
      </c>
      <c r="F10">
        <v>0.53085727933168703</v>
      </c>
      <c r="G10">
        <v>2.5585036462728899E-2</v>
      </c>
      <c r="H10">
        <v>0.46736675032998098</v>
      </c>
      <c r="I10">
        <v>0.53263324967001902</v>
      </c>
    </row>
    <row r="11" spans="1:9" x14ac:dyDescent="0.5">
      <c r="A11" t="s">
        <v>111</v>
      </c>
      <c r="C11">
        <v>0.43140530865740501</v>
      </c>
      <c r="D11">
        <v>0.82896024907279697</v>
      </c>
      <c r="E11">
        <v>0.76326342153260396</v>
      </c>
      <c r="F11">
        <v>0.56394710778219703</v>
      </c>
      <c r="G11">
        <v>4.1968308111003001E-2</v>
      </c>
      <c r="H11">
        <v>0.43428388605303098</v>
      </c>
      <c r="I11">
        <v>0.56571611394696897</v>
      </c>
    </row>
    <row r="17" spans="1:7" x14ac:dyDescent="0.5">
      <c r="B17" t="s">
        <v>67</v>
      </c>
      <c r="C17" t="s">
        <v>68</v>
      </c>
      <c r="D17" t="s">
        <v>69</v>
      </c>
      <c r="E17" t="s">
        <v>70</v>
      </c>
      <c r="F17" t="s">
        <v>71</v>
      </c>
      <c r="G17" t="s">
        <v>72</v>
      </c>
    </row>
    <row r="18" spans="1:7" x14ac:dyDescent="0.5">
      <c r="A18" t="s">
        <v>73</v>
      </c>
      <c r="B18">
        <v>0.80282519128899399</v>
      </c>
      <c r="C18">
        <v>1.3252403374534001</v>
      </c>
      <c r="D18">
        <v>0.98926359476562498</v>
      </c>
      <c r="E18">
        <v>0.77632594336537797</v>
      </c>
      <c r="F18">
        <v>0.69748871885422803</v>
      </c>
      <c r="G18">
        <v>0.43655932060876101</v>
      </c>
    </row>
    <row r="19" spans="1:7" x14ac:dyDescent="0.5">
      <c r="A19" t="s">
        <v>74</v>
      </c>
      <c r="B19">
        <v>1.06046027939242</v>
      </c>
      <c r="C19">
        <v>0.294472671658564</v>
      </c>
      <c r="D19">
        <v>9.8915108773098802E-3</v>
      </c>
      <c r="E19">
        <v>0.16650895039601701</v>
      </c>
      <c r="F19">
        <v>0.40974325676524698</v>
      </c>
      <c r="G19">
        <v>0.330414747237402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8BFFB-8667-4124-9A7B-64A4A9FBA4E4}">
  <dimension ref="A2:D35"/>
  <sheetViews>
    <sheetView tabSelected="1" topLeftCell="A4" workbookViewId="0">
      <selection activeCell="B4" sqref="B4"/>
    </sheetView>
  </sheetViews>
  <sheetFormatPr defaultRowHeight="15.75" x14ac:dyDescent="0.5"/>
  <sheetData>
    <row r="2" spans="1:4" x14ac:dyDescent="0.5">
      <c r="B2" t="s">
        <v>174</v>
      </c>
      <c r="C2" t="s">
        <v>175</v>
      </c>
      <c r="D2" t="s">
        <v>176</v>
      </c>
    </row>
    <row r="3" spans="1:4" x14ac:dyDescent="0.5">
      <c r="B3" t="s">
        <v>145</v>
      </c>
    </row>
    <row r="4" spans="1:4" x14ac:dyDescent="0.5">
      <c r="A4">
        <v>1</v>
      </c>
      <c r="B4" t="s">
        <v>182</v>
      </c>
      <c r="C4">
        <v>1998</v>
      </c>
      <c r="D4">
        <v>2.1</v>
      </c>
    </row>
    <row r="5" spans="1:4" x14ac:dyDescent="0.5">
      <c r="A5">
        <v>2</v>
      </c>
      <c r="B5" t="s">
        <v>177</v>
      </c>
      <c r="C5">
        <v>2014</v>
      </c>
      <c r="D5">
        <v>5</v>
      </c>
    </row>
    <row r="6" spans="1:4" x14ac:dyDescent="0.5">
      <c r="A6">
        <v>3</v>
      </c>
      <c r="B6" t="s">
        <v>178</v>
      </c>
      <c r="C6">
        <v>2014</v>
      </c>
      <c r="D6">
        <v>104</v>
      </c>
    </row>
    <row r="7" spans="1:4" x14ac:dyDescent="0.5">
      <c r="A7">
        <v>4</v>
      </c>
      <c r="B7" t="s">
        <v>179</v>
      </c>
      <c r="C7">
        <v>2003</v>
      </c>
      <c r="D7">
        <v>10.8</v>
      </c>
    </row>
    <row r="8" spans="1:4" x14ac:dyDescent="0.5">
      <c r="A8">
        <v>5</v>
      </c>
      <c r="B8" t="s">
        <v>180</v>
      </c>
      <c r="C8">
        <v>1986</v>
      </c>
      <c r="D8">
        <v>11.1</v>
      </c>
    </row>
    <row r="9" spans="1:4" x14ac:dyDescent="0.5">
      <c r="A9">
        <v>6</v>
      </c>
      <c r="B9" t="s">
        <v>181</v>
      </c>
      <c r="C9">
        <v>2004</v>
      </c>
      <c r="D9">
        <v>77.8</v>
      </c>
    </row>
    <row r="10" spans="1:4" x14ac:dyDescent="0.5">
      <c r="A10">
        <v>7</v>
      </c>
      <c r="B10" t="s">
        <v>183</v>
      </c>
      <c r="C10">
        <v>1987</v>
      </c>
      <c r="D10">
        <v>14284.4</v>
      </c>
    </row>
    <row r="11" spans="1:4" x14ac:dyDescent="0.5">
      <c r="A11">
        <v>8</v>
      </c>
      <c r="B11" t="s">
        <v>184</v>
      </c>
      <c r="C11">
        <v>2008</v>
      </c>
      <c r="D11">
        <v>348.6</v>
      </c>
    </row>
    <row r="12" spans="1:4" x14ac:dyDescent="0.5">
      <c r="A12">
        <v>9</v>
      </c>
      <c r="B12" t="s">
        <v>185</v>
      </c>
      <c r="C12">
        <v>2007</v>
      </c>
      <c r="D12">
        <v>648</v>
      </c>
    </row>
    <row r="13" spans="1:4" x14ac:dyDescent="0.5">
      <c r="A13">
        <v>10</v>
      </c>
      <c r="B13" s="19" t="s">
        <v>186</v>
      </c>
      <c r="C13">
        <v>2014</v>
      </c>
      <c r="D13">
        <v>0.02</v>
      </c>
    </row>
    <row r="14" spans="1:4" x14ac:dyDescent="0.5">
      <c r="A14">
        <v>11</v>
      </c>
      <c r="B14" s="19" t="s">
        <v>187</v>
      </c>
      <c r="C14">
        <v>2014</v>
      </c>
      <c r="D14">
        <v>4690.1000000000004</v>
      </c>
    </row>
    <row r="15" spans="1:4" x14ac:dyDescent="0.5">
      <c r="A15">
        <v>12</v>
      </c>
      <c r="B15" s="19" t="s">
        <v>189</v>
      </c>
      <c r="C15">
        <v>2014</v>
      </c>
      <c r="D15">
        <v>12.2</v>
      </c>
    </row>
    <row r="16" spans="1:4" x14ac:dyDescent="0.5">
      <c r="A16">
        <v>13</v>
      </c>
      <c r="B16" t="s">
        <v>188</v>
      </c>
      <c r="C16">
        <v>2014</v>
      </c>
      <c r="D16">
        <v>1519.6</v>
      </c>
    </row>
    <row r="17" spans="1:4" x14ac:dyDescent="0.5">
      <c r="B17" t="s">
        <v>155</v>
      </c>
    </row>
    <row r="18" spans="1:4" x14ac:dyDescent="0.5">
      <c r="A18" t="s">
        <v>190</v>
      </c>
      <c r="B18" t="s">
        <v>165</v>
      </c>
      <c r="C18" t="s">
        <v>207</v>
      </c>
      <c r="D18">
        <v>157.30000000000001</v>
      </c>
    </row>
    <row r="19" spans="1:4" x14ac:dyDescent="0.5">
      <c r="A19" t="s">
        <v>191</v>
      </c>
      <c r="B19" t="s">
        <v>166</v>
      </c>
      <c r="C19" t="s">
        <v>207</v>
      </c>
      <c r="D19">
        <v>101.3</v>
      </c>
    </row>
    <row r="20" spans="1:4" x14ac:dyDescent="0.5">
      <c r="A20" t="s">
        <v>192</v>
      </c>
      <c r="B20" t="s">
        <v>167</v>
      </c>
      <c r="C20" t="s">
        <v>207</v>
      </c>
      <c r="D20">
        <v>254.3</v>
      </c>
    </row>
    <row r="21" spans="1:4" x14ac:dyDescent="0.5">
      <c r="A21" t="s">
        <v>120</v>
      </c>
      <c r="B21" t="s">
        <v>168</v>
      </c>
      <c r="C21" t="s">
        <v>207</v>
      </c>
      <c r="D21">
        <v>95.9</v>
      </c>
    </row>
    <row r="22" spans="1:4" x14ac:dyDescent="0.5">
      <c r="A22" t="s">
        <v>193</v>
      </c>
      <c r="B22" t="s">
        <v>169</v>
      </c>
      <c r="C22" t="s">
        <v>207</v>
      </c>
      <c r="D22">
        <v>449.1</v>
      </c>
    </row>
    <row r="23" spans="1:4" x14ac:dyDescent="0.5">
      <c r="A23" t="s">
        <v>194</v>
      </c>
      <c r="B23" t="s">
        <v>170</v>
      </c>
      <c r="C23" t="s">
        <v>207</v>
      </c>
      <c r="D23">
        <v>167.9</v>
      </c>
    </row>
    <row r="24" spans="1:4" x14ac:dyDescent="0.5">
      <c r="A24" t="s">
        <v>121</v>
      </c>
      <c r="B24" t="s">
        <v>199</v>
      </c>
      <c r="C24" t="s">
        <v>207</v>
      </c>
      <c r="D24">
        <v>28.7</v>
      </c>
    </row>
    <row r="25" spans="1:4" x14ac:dyDescent="0.5">
      <c r="A25" t="s">
        <v>195</v>
      </c>
      <c r="B25" t="s">
        <v>171</v>
      </c>
      <c r="C25" t="s">
        <v>207</v>
      </c>
      <c r="D25">
        <v>5</v>
      </c>
    </row>
    <row r="26" spans="1:4" x14ac:dyDescent="0.5">
      <c r="A26" t="s">
        <v>196</v>
      </c>
      <c r="B26" t="s">
        <v>172</v>
      </c>
      <c r="C26" t="s">
        <v>207</v>
      </c>
      <c r="D26">
        <v>0.3</v>
      </c>
    </row>
    <row r="27" spans="1:4" x14ac:dyDescent="0.5">
      <c r="A27" t="s">
        <v>197</v>
      </c>
      <c r="B27" t="s">
        <v>200</v>
      </c>
      <c r="C27" t="s">
        <v>207</v>
      </c>
      <c r="D27">
        <v>5.9</v>
      </c>
    </row>
    <row r="28" spans="1:4" x14ac:dyDescent="0.5">
      <c r="A28" t="s">
        <v>198</v>
      </c>
      <c r="B28" t="s">
        <v>173</v>
      </c>
      <c r="C28" t="s">
        <v>207</v>
      </c>
      <c r="D28">
        <v>0.7</v>
      </c>
    </row>
    <row r="30" spans="1:4" x14ac:dyDescent="0.5">
      <c r="A30" t="s">
        <v>201</v>
      </c>
    </row>
    <row r="31" spans="1:4" x14ac:dyDescent="0.5">
      <c r="A31" t="s">
        <v>202</v>
      </c>
    </row>
    <row r="32" spans="1:4" x14ac:dyDescent="0.5">
      <c r="A32" t="s">
        <v>203</v>
      </c>
    </row>
    <row r="33" spans="1:1" x14ac:dyDescent="0.5">
      <c r="A33" t="s">
        <v>204</v>
      </c>
    </row>
    <row r="34" spans="1:1" x14ac:dyDescent="0.5">
      <c r="A34" t="s">
        <v>205</v>
      </c>
    </row>
    <row r="35" spans="1:1" x14ac:dyDescent="0.5">
      <c r="A35" t="s">
        <v>206</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0D3C6-F759-44C0-A485-5CB7B994CD9B}">
  <dimension ref="A2:G15"/>
  <sheetViews>
    <sheetView workbookViewId="0">
      <selection activeCell="G15" sqref="A3:G15"/>
    </sheetView>
  </sheetViews>
  <sheetFormatPr defaultRowHeight="15.75" x14ac:dyDescent="0.5"/>
  <cols>
    <col min="1" max="1" width="19.375" bestFit="1" customWidth="1"/>
    <col min="2" max="2" width="8.375" bestFit="1" customWidth="1"/>
    <col min="3" max="3" width="11.375" style="17" bestFit="1" customWidth="1"/>
    <col min="4" max="4" width="13.8125" style="17" bestFit="1" customWidth="1"/>
    <col min="5" max="5" width="12.625" style="17" bestFit="1" customWidth="1"/>
    <col min="6" max="6" width="12.875" style="17" bestFit="1" customWidth="1"/>
  </cols>
  <sheetData>
    <row r="2" spans="1:7" ht="16.25" customHeight="1" x14ac:dyDescent="0.5"/>
    <row r="3" spans="1:7" x14ac:dyDescent="0.5">
      <c r="A3" t="s">
        <v>137</v>
      </c>
      <c r="B3" t="s">
        <v>138</v>
      </c>
      <c r="C3" s="17" t="s">
        <v>142</v>
      </c>
      <c r="D3" s="17" t="s">
        <v>139</v>
      </c>
      <c r="E3" s="17" t="s">
        <v>144</v>
      </c>
      <c r="F3" s="17" t="s">
        <v>143</v>
      </c>
      <c r="G3" t="s">
        <v>146</v>
      </c>
    </row>
    <row r="4" spans="1:7" x14ac:dyDescent="0.5">
      <c r="A4" t="s">
        <v>145</v>
      </c>
      <c r="B4" t="s">
        <v>145</v>
      </c>
    </row>
    <row r="5" spans="1:7" x14ac:dyDescent="0.5">
      <c r="A5" t="s">
        <v>140</v>
      </c>
      <c r="B5">
        <v>4</v>
      </c>
      <c r="C5" s="17">
        <v>121.87</v>
      </c>
      <c r="D5" s="17">
        <v>2.4500000000000002</v>
      </c>
      <c r="E5" s="17">
        <v>1.1844190507965599E-2</v>
      </c>
      <c r="F5" s="17">
        <v>2.0103388856978701</v>
      </c>
      <c r="G5" s="18" t="s">
        <v>147</v>
      </c>
    </row>
    <row r="6" spans="1:7" x14ac:dyDescent="0.5">
      <c r="A6" t="s">
        <v>141</v>
      </c>
      <c r="B6">
        <v>2</v>
      </c>
      <c r="C6" s="17">
        <v>88.9</v>
      </c>
      <c r="D6" s="17">
        <v>6.02</v>
      </c>
      <c r="E6" s="17">
        <v>2.7191592292935201E-2</v>
      </c>
      <c r="F6" s="17">
        <v>6.7716535433070897</v>
      </c>
      <c r="G6" t="s">
        <v>148</v>
      </c>
    </row>
    <row r="7" spans="1:7" x14ac:dyDescent="0.5">
      <c r="A7" t="s">
        <v>154</v>
      </c>
      <c r="B7">
        <v>3</v>
      </c>
      <c r="C7" s="17">
        <v>15280.92</v>
      </c>
      <c r="D7" s="17">
        <v>8586.2199999999993</v>
      </c>
      <c r="E7" s="17">
        <v>35.808741346234001</v>
      </c>
      <c r="F7" s="17">
        <v>56.189156150284099</v>
      </c>
      <c r="G7" t="s">
        <v>150</v>
      </c>
    </row>
    <row r="8" spans="1:7" x14ac:dyDescent="0.5">
      <c r="A8" t="s">
        <v>2</v>
      </c>
      <c r="B8">
        <v>4</v>
      </c>
      <c r="C8" s="17">
        <v>6221.87</v>
      </c>
      <c r="D8" s="17">
        <v>2.5499999999999998</v>
      </c>
      <c r="E8" s="17">
        <v>1.3554091250312801E-2</v>
      </c>
      <c r="F8" s="17">
        <v>4.0984462870487501E-2</v>
      </c>
      <c r="G8" s="18" t="s">
        <v>149</v>
      </c>
    </row>
    <row r="9" spans="1:7" x14ac:dyDescent="0.5">
      <c r="A9" t="s">
        <v>0</v>
      </c>
      <c r="B9">
        <v>13</v>
      </c>
      <c r="C9" s="17">
        <v>21713.56</v>
      </c>
      <c r="D9" s="17">
        <v>8597.24</v>
      </c>
      <c r="E9" s="17">
        <v>35.854700141796599</v>
      </c>
      <c r="F9" s="17">
        <v>39.593875900589303</v>
      </c>
    </row>
    <row r="10" spans="1:7" x14ac:dyDescent="0.5">
      <c r="A10" t="s">
        <v>153</v>
      </c>
      <c r="B10">
        <v>6</v>
      </c>
      <c r="C10" s="17">
        <v>210.77</v>
      </c>
      <c r="D10" s="17">
        <v>8.4700000000000006</v>
      </c>
      <c r="E10" s="17">
        <v>3.9035782800900802E-2</v>
      </c>
      <c r="F10" s="17">
        <v>4.0185984722683497</v>
      </c>
    </row>
    <row r="12" spans="1:7" x14ac:dyDescent="0.5">
      <c r="A12" t="s">
        <v>155</v>
      </c>
      <c r="B12" t="s">
        <v>155</v>
      </c>
    </row>
    <row r="13" spans="1:7" x14ac:dyDescent="0.5">
      <c r="A13" t="s">
        <v>140</v>
      </c>
      <c r="B13">
        <v>6</v>
      </c>
      <c r="C13" s="17">
        <v>404.66</v>
      </c>
      <c r="D13" s="17">
        <v>300.68</v>
      </c>
      <c r="E13" s="17">
        <v>1.2539828175827801</v>
      </c>
      <c r="F13" s="17">
        <v>74.303566219531106</v>
      </c>
      <c r="G13" t="s">
        <v>152</v>
      </c>
    </row>
    <row r="14" spans="1:7" x14ac:dyDescent="0.5">
      <c r="A14" t="s">
        <v>141</v>
      </c>
      <c r="B14">
        <v>5</v>
      </c>
      <c r="C14" s="17">
        <v>861.68</v>
      </c>
      <c r="D14" s="17">
        <v>555.76</v>
      </c>
      <c r="E14" s="17">
        <v>2.3177913086996398</v>
      </c>
      <c r="F14" s="17">
        <v>64.497497590379695</v>
      </c>
      <c r="G14" t="s">
        <v>151</v>
      </c>
    </row>
    <row r="15" spans="1:7" x14ac:dyDescent="0.5">
      <c r="A15" t="s">
        <v>0</v>
      </c>
      <c r="B15">
        <v>11</v>
      </c>
      <c r="C15" s="17">
        <v>1266.3399999999999</v>
      </c>
      <c r="D15" s="17">
        <v>856.44</v>
      </c>
      <c r="E15" s="17">
        <v>3.5717741262824299</v>
      </c>
      <c r="F15" s="17">
        <v>67.631065404766801</v>
      </c>
    </row>
  </sheetData>
  <phoneticPr fontId="2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20"/>
  <sheetViews>
    <sheetView workbookViewId="0">
      <selection activeCell="G11" sqref="G11"/>
    </sheetView>
  </sheetViews>
  <sheetFormatPr defaultRowHeight="15.75" x14ac:dyDescent="0.5"/>
  <cols>
    <col min="3" max="3" width="21.875" bestFit="1" customWidth="1"/>
  </cols>
  <sheetData>
    <row r="1" spans="1:7" x14ac:dyDescent="0.5">
      <c r="A1" t="s">
        <v>17</v>
      </c>
    </row>
    <row r="3" spans="1:7" ht="31.5" x14ac:dyDescent="0.5">
      <c r="C3" t="s">
        <v>16</v>
      </c>
      <c r="D3" s="7" t="s">
        <v>26</v>
      </c>
      <c r="E3" s="7" t="s">
        <v>27</v>
      </c>
    </row>
    <row r="4" spans="1:7" x14ac:dyDescent="0.5">
      <c r="C4" t="s">
        <v>18</v>
      </c>
      <c r="D4">
        <v>56.878593748014303</v>
      </c>
      <c r="E4">
        <v>13.613476239256901</v>
      </c>
      <c r="G4" s="4"/>
    </row>
    <row r="5" spans="1:7" x14ac:dyDescent="0.5">
      <c r="C5" t="s">
        <v>78</v>
      </c>
      <c r="D5">
        <v>5.4280140911816401</v>
      </c>
      <c r="E5">
        <v>1.7975963358076199</v>
      </c>
    </row>
    <row r="6" spans="1:7" x14ac:dyDescent="0.5">
      <c r="C6" t="s">
        <v>19</v>
      </c>
      <c r="D6">
        <v>1.77641891453923</v>
      </c>
      <c r="E6">
        <v>1.4158052529508001</v>
      </c>
    </row>
    <row r="7" spans="1:7" x14ac:dyDescent="0.5">
      <c r="C7" t="s">
        <v>76</v>
      </c>
      <c r="D7">
        <v>18.9497096298117</v>
      </c>
      <c r="E7">
        <v>12.913750360974801</v>
      </c>
    </row>
    <row r="8" spans="1:7" x14ac:dyDescent="0.5">
      <c r="C8" t="s">
        <v>22</v>
      </c>
      <c r="D8">
        <v>3.8907422183612201</v>
      </c>
      <c r="E8">
        <v>2.3405630920549001</v>
      </c>
    </row>
    <row r="9" spans="1:7" x14ac:dyDescent="0.5">
      <c r="C9" t="s">
        <v>81</v>
      </c>
      <c r="D9">
        <v>12.6509537378901</v>
      </c>
      <c r="E9">
        <v>2.0263546938389601</v>
      </c>
    </row>
    <row r="10" spans="1:7" x14ac:dyDescent="0.5">
      <c r="C10" t="s">
        <v>84</v>
      </c>
      <c r="D10">
        <v>8.8102296018102706</v>
      </c>
      <c r="E10">
        <v>2.8096065108080799</v>
      </c>
    </row>
    <row r="11" spans="1:7" x14ac:dyDescent="0.5">
      <c r="C11" t="s">
        <v>23</v>
      </c>
      <c r="D11">
        <v>80.765715954401898</v>
      </c>
    </row>
    <row r="12" spans="1:7" x14ac:dyDescent="0.5">
      <c r="C12" t="s">
        <v>28</v>
      </c>
      <c r="D12">
        <v>38.940195902681197</v>
      </c>
      <c r="G12" s="3"/>
    </row>
    <row r="13" spans="1:7" x14ac:dyDescent="0.5">
      <c r="C13" t="s">
        <v>25</v>
      </c>
      <c r="D13">
        <v>24.122569187067398</v>
      </c>
      <c r="G13" s="6"/>
    </row>
    <row r="14" spans="1:7" x14ac:dyDescent="0.5">
      <c r="C14" t="s">
        <v>21</v>
      </c>
      <c r="D14">
        <v>70.982699611325998</v>
      </c>
      <c r="G14" s="3"/>
    </row>
    <row r="15" spans="1:7" x14ac:dyDescent="0.5">
      <c r="C15" t="s">
        <v>77</v>
      </c>
      <c r="D15">
        <v>1.7393681460955599</v>
      </c>
      <c r="G15" s="5"/>
    </row>
    <row r="16" spans="1:7" x14ac:dyDescent="0.5">
      <c r="C16" t="s">
        <v>79</v>
      </c>
      <c r="D16">
        <v>4.0749158212240202</v>
      </c>
      <c r="G16" s="3"/>
    </row>
    <row r="17" spans="3:7" x14ac:dyDescent="0.5">
      <c r="C17" t="s">
        <v>80</v>
      </c>
      <c r="D17">
        <v>6.6434281514312898</v>
      </c>
      <c r="G17" s="5"/>
    </row>
    <row r="18" spans="3:7" x14ac:dyDescent="0.5">
      <c r="C18" t="s">
        <v>82</v>
      </c>
      <c r="D18">
        <v>4.3533266764703802</v>
      </c>
      <c r="G18" s="5"/>
    </row>
    <row r="19" spans="3:7" x14ac:dyDescent="0.5">
      <c r="C19" t="s">
        <v>83</v>
      </c>
      <c r="D19">
        <v>5.4644282395075798</v>
      </c>
      <c r="G19" s="5"/>
    </row>
    <row r="20" spans="3:7" x14ac:dyDescent="0.5">
      <c r="C20" t="s">
        <v>85</v>
      </c>
      <c r="D20">
        <v>2.48529042949641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19E77-B3CE-4E68-BDFD-38E718176D80}">
  <sheetPr codeName="Sheet2"/>
  <dimension ref="A1:F19"/>
  <sheetViews>
    <sheetView workbookViewId="0">
      <selection activeCell="G22" sqref="G22"/>
    </sheetView>
  </sheetViews>
  <sheetFormatPr defaultRowHeight="15.75" x14ac:dyDescent="0.5"/>
  <sheetData>
    <row r="1" spans="1:6" x14ac:dyDescent="0.5">
      <c r="A1" t="s">
        <v>123</v>
      </c>
    </row>
    <row r="2" spans="1:6" x14ac:dyDescent="0.5">
      <c r="B2" t="s">
        <v>120</v>
      </c>
      <c r="C2" t="s">
        <v>121</v>
      </c>
      <c r="D2" t="s">
        <v>122</v>
      </c>
    </row>
    <row r="3" spans="1:6" x14ac:dyDescent="0.5">
      <c r="B3">
        <v>0.63155320000000004</v>
      </c>
      <c r="C3">
        <v>0.89086759999999998</v>
      </c>
      <c r="D3">
        <v>0.34004319999999999</v>
      </c>
    </row>
    <row r="9" spans="1:6" x14ac:dyDescent="0.5">
      <c r="F9" s="15"/>
    </row>
    <row r="11" spans="1:6" x14ac:dyDescent="0.5">
      <c r="F11" s="15"/>
    </row>
    <row r="12" spans="1:6" x14ac:dyDescent="0.5">
      <c r="F12" s="15"/>
    </row>
    <row r="14" spans="1:6" x14ac:dyDescent="0.5">
      <c r="F14" s="15"/>
    </row>
    <row r="15" spans="1:6" x14ac:dyDescent="0.5">
      <c r="F15" s="15"/>
    </row>
    <row r="17" spans="6:6" x14ac:dyDescent="0.5">
      <c r="F17" s="15"/>
    </row>
    <row r="19" spans="6:6" x14ac:dyDescent="0.5">
      <c r="F19" s="1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N15"/>
  <sheetViews>
    <sheetView workbookViewId="0">
      <selection activeCell="A6" sqref="A6"/>
    </sheetView>
  </sheetViews>
  <sheetFormatPr defaultRowHeight="15.75" x14ac:dyDescent="0.5"/>
  <cols>
    <col min="1" max="1" width="19.6875" customWidth="1"/>
  </cols>
  <sheetData>
    <row r="1" spans="1:14" x14ac:dyDescent="0.5">
      <c r="A1" t="s">
        <v>75</v>
      </c>
    </row>
    <row r="3" spans="1:14" x14ac:dyDescent="0.5">
      <c r="A3" t="s">
        <v>86</v>
      </c>
      <c r="B3" t="s">
        <v>87</v>
      </c>
      <c r="C3" t="s">
        <v>88</v>
      </c>
      <c r="D3" t="s">
        <v>89</v>
      </c>
      <c r="E3" t="s">
        <v>71</v>
      </c>
      <c r="F3" t="s">
        <v>70</v>
      </c>
      <c r="G3" t="s">
        <v>90</v>
      </c>
      <c r="H3" t="s">
        <v>91</v>
      </c>
      <c r="I3" t="s">
        <v>92</v>
      </c>
      <c r="J3" t="s">
        <v>93</v>
      </c>
      <c r="K3" t="s">
        <v>94</v>
      </c>
      <c r="L3" t="s">
        <v>95</v>
      </c>
      <c r="M3" t="s">
        <v>96</v>
      </c>
      <c r="N3" t="s">
        <v>97</v>
      </c>
    </row>
    <row r="4" spans="1:14" x14ac:dyDescent="0.5">
      <c r="A4" t="s">
        <v>4</v>
      </c>
      <c r="B4">
        <v>0.38592275917832197</v>
      </c>
      <c r="C4">
        <v>0.86641814906314696</v>
      </c>
      <c r="D4">
        <v>0.40300735614062899</v>
      </c>
      <c r="E4">
        <v>0.77137452577443699</v>
      </c>
      <c r="F4">
        <v>0.59374870362222398</v>
      </c>
      <c r="G4">
        <v>0.59699264385937101</v>
      </c>
      <c r="H4">
        <v>6.4420752827030206E-2</v>
      </c>
      <c r="I4">
        <v>0.430504344785063</v>
      </c>
      <c r="J4">
        <v>10</v>
      </c>
      <c r="K4" t="s">
        <v>98</v>
      </c>
      <c r="L4" t="s">
        <v>98</v>
      </c>
      <c r="M4" t="s">
        <v>99</v>
      </c>
      <c r="N4" t="s">
        <v>4</v>
      </c>
    </row>
    <row r="5" spans="1:14" x14ac:dyDescent="0.5">
      <c r="A5" t="s">
        <v>6</v>
      </c>
      <c r="B5">
        <v>0.43074570940000001</v>
      </c>
      <c r="C5">
        <v>0.81002545997287301</v>
      </c>
      <c r="D5">
        <v>0.48431803427498099</v>
      </c>
      <c r="E5">
        <v>0.79431908124466499</v>
      </c>
      <c r="F5">
        <v>0.51494676554495</v>
      </c>
      <c r="G5">
        <v>0.51568196572501901</v>
      </c>
      <c r="H5">
        <v>6.9759971468905E-3</v>
      </c>
      <c r="I5">
        <v>0.28216769921844698</v>
      </c>
      <c r="J5">
        <v>10</v>
      </c>
      <c r="K5" t="s">
        <v>100</v>
      </c>
      <c r="L5" t="s">
        <v>100</v>
      </c>
      <c r="M5" t="s">
        <v>101</v>
      </c>
      <c r="N5" t="s">
        <v>6</v>
      </c>
    </row>
    <row r="6" spans="1:14" x14ac:dyDescent="0.5">
      <c r="A6" t="s">
        <v>126</v>
      </c>
      <c r="B6">
        <v>0.433002296729537</v>
      </c>
      <c r="C6">
        <v>0.85314706362140502</v>
      </c>
      <c r="D6">
        <v>0.48833929557805</v>
      </c>
      <c r="E6">
        <v>0.84014536310497501</v>
      </c>
      <c r="F6">
        <v>0.51105911137134796</v>
      </c>
      <c r="G6">
        <v>0.51166070442195</v>
      </c>
      <c r="H6">
        <v>5.2483609296859702E-3</v>
      </c>
      <c r="I6">
        <v>0.372030714437671</v>
      </c>
      <c r="J6">
        <v>10</v>
      </c>
      <c r="K6" t="s">
        <v>133</v>
      </c>
      <c r="L6" t="s">
        <v>133</v>
      </c>
      <c r="M6" t="s">
        <v>134</v>
      </c>
      <c r="N6" t="s">
        <v>126</v>
      </c>
    </row>
    <row r="7" spans="1:14" x14ac:dyDescent="0.5">
      <c r="A7" t="s">
        <v>3</v>
      </c>
      <c r="B7">
        <v>0.45954041945357699</v>
      </c>
      <c r="C7">
        <v>0.79593543024354796</v>
      </c>
      <c r="D7">
        <v>0.39864884326933597</v>
      </c>
      <c r="E7">
        <v>0.69665502900090404</v>
      </c>
      <c r="F7">
        <v>0.59878110110805904</v>
      </c>
      <c r="G7">
        <v>0.60135115673066397</v>
      </c>
      <c r="H7">
        <v>7.0284670603166594E-2</v>
      </c>
      <c r="I7">
        <v>0.40082550372875903</v>
      </c>
      <c r="J7">
        <v>10</v>
      </c>
      <c r="K7" t="s">
        <v>102</v>
      </c>
      <c r="L7" t="s">
        <v>103</v>
      </c>
      <c r="M7" t="s">
        <v>104</v>
      </c>
      <c r="N7" t="s">
        <v>3</v>
      </c>
    </row>
    <row r="8" spans="1:14" x14ac:dyDescent="0.5">
      <c r="A8" t="s">
        <v>7</v>
      </c>
      <c r="B8">
        <v>0.48863506985897598</v>
      </c>
      <c r="C8">
        <v>0.78026802409907803</v>
      </c>
      <c r="D8">
        <v>0.37231127174370698</v>
      </c>
      <c r="E8">
        <v>0.65354174807273402</v>
      </c>
      <c r="F8">
        <v>0.62654757541763995</v>
      </c>
      <c r="G8">
        <v>0.62768872825629296</v>
      </c>
      <c r="H8">
        <v>7.9934784499560305E-2</v>
      </c>
      <c r="I8">
        <v>0.23424728658999999</v>
      </c>
      <c r="J8">
        <v>10</v>
      </c>
      <c r="K8" t="s">
        <v>105</v>
      </c>
      <c r="L8" t="s">
        <v>106</v>
      </c>
      <c r="M8" t="s">
        <v>107</v>
      </c>
      <c r="N8" t="s">
        <v>7</v>
      </c>
    </row>
    <row r="9" spans="1:14" x14ac:dyDescent="0.5">
      <c r="A9" t="s">
        <v>5</v>
      </c>
      <c r="B9">
        <v>0.59761836359999998</v>
      </c>
      <c r="C9">
        <v>0.75940397246338298</v>
      </c>
      <c r="D9">
        <v>0.42599565103453002</v>
      </c>
      <c r="E9">
        <v>0.68747129509066796</v>
      </c>
      <c r="F9">
        <v>0.57168921807947204</v>
      </c>
      <c r="G9">
        <v>0.57400434896547003</v>
      </c>
      <c r="H9">
        <v>4.1328554307958398E-2</v>
      </c>
      <c r="I9">
        <v>0.23818812741977599</v>
      </c>
      <c r="J9">
        <v>10</v>
      </c>
      <c r="K9" t="s">
        <v>108</v>
      </c>
      <c r="L9" t="s">
        <v>109</v>
      </c>
      <c r="M9" t="s">
        <v>110</v>
      </c>
      <c r="N9" t="s">
        <v>5</v>
      </c>
    </row>
    <row r="10" spans="1:14" x14ac:dyDescent="0.5">
      <c r="A10" t="s">
        <v>127</v>
      </c>
      <c r="B10">
        <v>0.22437254238142201</v>
      </c>
      <c r="C10">
        <v>0.93752364404614397</v>
      </c>
      <c r="D10">
        <v>0.46736675032998098</v>
      </c>
      <c r="E10">
        <v>0.89933690843984404</v>
      </c>
      <c r="F10">
        <v>0.53085727933168703</v>
      </c>
      <c r="G10">
        <v>0.53263324967001902</v>
      </c>
      <c r="H10">
        <v>2.5585036462728899E-2</v>
      </c>
      <c r="I10">
        <v>0.57991520019114895</v>
      </c>
      <c r="J10">
        <v>10</v>
      </c>
      <c r="K10" t="s">
        <v>135</v>
      </c>
      <c r="L10" t="s">
        <v>135</v>
      </c>
      <c r="M10" t="s">
        <v>136</v>
      </c>
      <c r="N10" t="s">
        <v>127</v>
      </c>
    </row>
    <row r="11" spans="1:14" x14ac:dyDescent="0.5">
      <c r="A11" t="s">
        <v>111</v>
      </c>
      <c r="B11">
        <v>0.43140530865740501</v>
      </c>
      <c r="C11">
        <v>0.82896024907279697</v>
      </c>
      <c r="D11">
        <v>0.43428388605303098</v>
      </c>
      <c r="E11">
        <v>0.76326342153260396</v>
      </c>
      <c r="F11">
        <v>0.56394710778219703</v>
      </c>
      <c r="G11">
        <v>0.56571611394696897</v>
      </c>
      <c r="H11">
        <v>4.1968308111003001E-2</v>
      </c>
      <c r="I11">
        <v>0.36255412519583802</v>
      </c>
      <c r="J11">
        <v>10</v>
      </c>
    </row>
    <row r="13" spans="1:14" x14ac:dyDescent="0.5">
      <c r="B13" t="s">
        <v>67</v>
      </c>
      <c r="C13" t="s">
        <v>68</v>
      </c>
      <c r="D13" t="s">
        <v>69</v>
      </c>
      <c r="E13" t="s">
        <v>70</v>
      </c>
      <c r="F13" t="s">
        <v>71</v>
      </c>
      <c r="G13" t="s">
        <v>72</v>
      </c>
    </row>
    <row r="14" spans="1:14" x14ac:dyDescent="0.5">
      <c r="A14" t="s">
        <v>73</v>
      </c>
      <c r="B14">
        <v>0.80282519128899399</v>
      </c>
      <c r="C14">
        <v>1.3252403374534001</v>
      </c>
      <c r="D14">
        <v>0.98926359476562498</v>
      </c>
      <c r="E14">
        <v>0.77632594336537797</v>
      </c>
      <c r="F14">
        <v>0.69748871885422803</v>
      </c>
      <c r="G14">
        <v>0.43655932060876101</v>
      </c>
    </row>
    <row r="15" spans="1:14" x14ac:dyDescent="0.5">
      <c r="A15" t="s">
        <v>74</v>
      </c>
      <c r="B15">
        <v>1.06046027939242</v>
      </c>
      <c r="C15">
        <v>0.294472671658564</v>
      </c>
      <c r="D15">
        <v>9.8915108773098802E-3</v>
      </c>
      <c r="E15">
        <v>0.16650895039601701</v>
      </c>
      <c r="F15">
        <v>0.40974325676524698</v>
      </c>
      <c r="G15">
        <v>0.330414747237402</v>
      </c>
    </row>
  </sheetData>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5BAE8-3757-4DB9-AA98-7DB42639F87C}">
  <sheetPr codeName="Sheet3"/>
  <dimension ref="A1:K11"/>
  <sheetViews>
    <sheetView workbookViewId="0">
      <selection activeCell="C21" sqref="C21"/>
    </sheetView>
  </sheetViews>
  <sheetFormatPr defaultRowHeight="15.75" x14ac:dyDescent="0.5"/>
  <sheetData>
    <row r="1" spans="1:11" x14ac:dyDescent="0.5">
      <c r="B1">
        <v>0.1</v>
      </c>
      <c r="C1">
        <v>0.2</v>
      </c>
      <c r="D1">
        <v>0.3</v>
      </c>
      <c r="E1">
        <v>0.4</v>
      </c>
      <c r="F1">
        <v>0.5</v>
      </c>
      <c r="G1">
        <v>0.6</v>
      </c>
      <c r="H1">
        <v>0.7</v>
      </c>
      <c r="I1">
        <v>0.8</v>
      </c>
      <c r="J1">
        <v>0.9</v>
      </c>
      <c r="K1">
        <v>1</v>
      </c>
    </row>
    <row r="2" spans="1:11" ht="16.149999999999999" x14ac:dyDescent="0.55000000000000004">
      <c r="A2">
        <v>1</v>
      </c>
      <c r="B2" s="16">
        <f>$A2*B$1</f>
        <v>0.1</v>
      </c>
      <c r="C2" s="16">
        <f t="shared" ref="C2:K2" si="0">$A2*C$1</f>
        <v>0.2</v>
      </c>
      <c r="D2" s="16">
        <f t="shared" si="0"/>
        <v>0.3</v>
      </c>
      <c r="E2" s="16">
        <f t="shared" si="0"/>
        <v>0.4</v>
      </c>
      <c r="F2" s="16">
        <f t="shared" si="0"/>
        <v>0.5</v>
      </c>
      <c r="G2" s="16">
        <f t="shared" si="0"/>
        <v>0.6</v>
      </c>
      <c r="H2" s="16">
        <f t="shared" si="0"/>
        <v>0.7</v>
      </c>
      <c r="I2" s="16">
        <f t="shared" si="0"/>
        <v>0.8</v>
      </c>
      <c r="J2" s="16">
        <f t="shared" si="0"/>
        <v>0.9</v>
      </c>
      <c r="K2" s="16">
        <f t="shared" si="0"/>
        <v>1</v>
      </c>
    </row>
    <row r="3" spans="1:11" ht="16.149999999999999" x14ac:dyDescent="0.55000000000000004">
      <c r="A3">
        <v>2</v>
      </c>
      <c r="B3" s="16">
        <f t="shared" ref="B3:K11" si="1">$A3*B$1</f>
        <v>0.2</v>
      </c>
      <c r="C3" s="16">
        <f t="shared" si="1"/>
        <v>0.4</v>
      </c>
      <c r="D3" s="16">
        <f t="shared" si="1"/>
        <v>0.6</v>
      </c>
      <c r="E3" s="16">
        <f t="shared" si="1"/>
        <v>0.8</v>
      </c>
      <c r="F3" s="16">
        <f t="shared" si="1"/>
        <v>1</v>
      </c>
      <c r="G3" s="16">
        <f t="shared" si="1"/>
        <v>1.2</v>
      </c>
      <c r="H3" s="16">
        <f t="shared" si="1"/>
        <v>1.4</v>
      </c>
      <c r="I3" s="16">
        <f t="shared" si="1"/>
        <v>1.6</v>
      </c>
      <c r="J3" s="16">
        <f t="shared" si="1"/>
        <v>1.8</v>
      </c>
      <c r="K3" s="16">
        <f t="shared" si="1"/>
        <v>2</v>
      </c>
    </row>
    <row r="4" spans="1:11" ht="16.149999999999999" x14ac:dyDescent="0.55000000000000004">
      <c r="A4">
        <v>3</v>
      </c>
      <c r="B4" s="16">
        <f t="shared" si="1"/>
        <v>0.30000000000000004</v>
      </c>
      <c r="C4" s="16">
        <f t="shared" si="1"/>
        <v>0.60000000000000009</v>
      </c>
      <c r="D4" s="16">
        <f t="shared" si="1"/>
        <v>0.89999999999999991</v>
      </c>
      <c r="E4" s="16">
        <f t="shared" si="1"/>
        <v>1.2000000000000002</v>
      </c>
      <c r="F4" s="16">
        <f t="shared" si="1"/>
        <v>1.5</v>
      </c>
      <c r="G4" s="16">
        <f t="shared" si="1"/>
        <v>1.7999999999999998</v>
      </c>
      <c r="H4" s="16">
        <f t="shared" si="1"/>
        <v>2.0999999999999996</v>
      </c>
      <c r="I4" s="16">
        <f t="shared" si="1"/>
        <v>2.4000000000000004</v>
      </c>
      <c r="J4" s="16">
        <f t="shared" si="1"/>
        <v>2.7</v>
      </c>
      <c r="K4" s="16">
        <f t="shared" si="1"/>
        <v>3</v>
      </c>
    </row>
    <row r="5" spans="1:11" ht="16.149999999999999" x14ac:dyDescent="0.55000000000000004">
      <c r="A5">
        <v>4</v>
      </c>
      <c r="B5" s="16">
        <f t="shared" si="1"/>
        <v>0.4</v>
      </c>
      <c r="C5" s="16">
        <f t="shared" si="1"/>
        <v>0.8</v>
      </c>
      <c r="D5" s="16">
        <f t="shared" si="1"/>
        <v>1.2</v>
      </c>
      <c r="E5" s="16">
        <f t="shared" si="1"/>
        <v>1.6</v>
      </c>
      <c r="F5" s="16">
        <f t="shared" si="1"/>
        <v>2</v>
      </c>
      <c r="G5" s="16">
        <f t="shared" si="1"/>
        <v>2.4</v>
      </c>
      <c r="H5" s="16">
        <f t="shared" si="1"/>
        <v>2.8</v>
      </c>
      <c r="I5" s="16">
        <f t="shared" si="1"/>
        <v>3.2</v>
      </c>
      <c r="J5" s="16">
        <f t="shared" si="1"/>
        <v>3.6</v>
      </c>
      <c r="K5" s="16">
        <f t="shared" si="1"/>
        <v>4</v>
      </c>
    </row>
    <row r="6" spans="1:11" ht="16.149999999999999" x14ac:dyDescent="0.55000000000000004">
      <c r="A6">
        <v>5</v>
      </c>
      <c r="B6" s="16">
        <f t="shared" si="1"/>
        <v>0.5</v>
      </c>
      <c r="C6" s="16">
        <f t="shared" si="1"/>
        <v>1</v>
      </c>
      <c r="D6" s="16">
        <f t="shared" si="1"/>
        <v>1.5</v>
      </c>
      <c r="E6" s="16">
        <f t="shared" si="1"/>
        <v>2</v>
      </c>
      <c r="F6" s="16">
        <f t="shared" si="1"/>
        <v>2.5</v>
      </c>
      <c r="G6" s="16">
        <f t="shared" si="1"/>
        <v>3</v>
      </c>
      <c r="H6" s="16">
        <f t="shared" si="1"/>
        <v>3.5</v>
      </c>
      <c r="I6" s="16">
        <f t="shared" si="1"/>
        <v>4</v>
      </c>
      <c r="J6" s="16">
        <f t="shared" si="1"/>
        <v>4.5</v>
      </c>
      <c r="K6" s="16">
        <f t="shared" si="1"/>
        <v>5</v>
      </c>
    </row>
    <row r="7" spans="1:11" ht="16.149999999999999" x14ac:dyDescent="0.55000000000000004">
      <c r="A7">
        <v>6</v>
      </c>
      <c r="B7" s="16">
        <f t="shared" si="1"/>
        <v>0.60000000000000009</v>
      </c>
      <c r="C7" s="16">
        <f t="shared" si="1"/>
        <v>1.2000000000000002</v>
      </c>
      <c r="D7" s="16">
        <f t="shared" si="1"/>
        <v>1.7999999999999998</v>
      </c>
      <c r="E7" s="16">
        <f t="shared" si="1"/>
        <v>2.4000000000000004</v>
      </c>
      <c r="F7" s="16">
        <f t="shared" si="1"/>
        <v>3</v>
      </c>
      <c r="G7" s="16">
        <f t="shared" si="1"/>
        <v>3.5999999999999996</v>
      </c>
      <c r="H7" s="16">
        <f t="shared" si="1"/>
        <v>4.1999999999999993</v>
      </c>
      <c r="I7" s="16">
        <f t="shared" si="1"/>
        <v>4.8000000000000007</v>
      </c>
      <c r="J7" s="16">
        <f t="shared" si="1"/>
        <v>5.4</v>
      </c>
      <c r="K7" s="16">
        <f t="shared" si="1"/>
        <v>6</v>
      </c>
    </row>
    <row r="8" spans="1:11" ht="16.149999999999999" x14ac:dyDescent="0.55000000000000004">
      <c r="A8">
        <v>7</v>
      </c>
      <c r="B8" s="16">
        <f t="shared" si="1"/>
        <v>0.70000000000000007</v>
      </c>
      <c r="C8" s="16">
        <f t="shared" si="1"/>
        <v>1.4000000000000001</v>
      </c>
      <c r="D8" s="16">
        <f t="shared" si="1"/>
        <v>2.1</v>
      </c>
      <c r="E8" s="16">
        <f t="shared" si="1"/>
        <v>2.8000000000000003</v>
      </c>
      <c r="F8" s="16">
        <f t="shared" si="1"/>
        <v>3.5</v>
      </c>
      <c r="G8" s="16">
        <f t="shared" si="1"/>
        <v>4.2</v>
      </c>
      <c r="H8" s="16">
        <f t="shared" si="1"/>
        <v>4.8999999999999995</v>
      </c>
      <c r="I8" s="16">
        <f t="shared" si="1"/>
        <v>5.6000000000000005</v>
      </c>
      <c r="J8" s="16">
        <f t="shared" si="1"/>
        <v>6.3</v>
      </c>
      <c r="K8" s="16">
        <f t="shared" si="1"/>
        <v>7</v>
      </c>
    </row>
    <row r="9" spans="1:11" ht="16.149999999999999" x14ac:dyDescent="0.55000000000000004">
      <c r="A9">
        <v>8</v>
      </c>
      <c r="B9" s="16">
        <f t="shared" si="1"/>
        <v>0.8</v>
      </c>
      <c r="C9" s="16">
        <f t="shared" si="1"/>
        <v>1.6</v>
      </c>
      <c r="D9" s="16">
        <f t="shared" si="1"/>
        <v>2.4</v>
      </c>
      <c r="E9" s="16">
        <f t="shared" si="1"/>
        <v>3.2</v>
      </c>
      <c r="F9" s="16">
        <f t="shared" si="1"/>
        <v>4</v>
      </c>
      <c r="G9" s="16">
        <f t="shared" si="1"/>
        <v>4.8</v>
      </c>
      <c r="H9" s="16">
        <f t="shared" si="1"/>
        <v>5.6</v>
      </c>
      <c r="I9" s="16">
        <f t="shared" si="1"/>
        <v>6.4</v>
      </c>
      <c r="J9" s="16">
        <f t="shared" si="1"/>
        <v>7.2</v>
      </c>
      <c r="K9" s="16">
        <f t="shared" si="1"/>
        <v>8</v>
      </c>
    </row>
    <row r="10" spans="1:11" ht="16.149999999999999" x14ac:dyDescent="0.55000000000000004">
      <c r="A10">
        <v>9</v>
      </c>
      <c r="B10" s="16">
        <f t="shared" si="1"/>
        <v>0.9</v>
      </c>
      <c r="C10" s="16">
        <f t="shared" si="1"/>
        <v>1.8</v>
      </c>
      <c r="D10" s="16">
        <f t="shared" si="1"/>
        <v>2.6999999999999997</v>
      </c>
      <c r="E10" s="16">
        <f t="shared" si="1"/>
        <v>3.6</v>
      </c>
      <c r="F10" s="16">
        <f t="shared" si="1"/>
        <v>4.5</v>
      </c>
      <c r="G10" s="16">
        <f t="shared" si="1"/>
        <v>5.3999999999999995</v>
      </c>
      <c r="H10" s="16">
        <f t="shared" si="1"/>
        <v>6.3</v>
      </c>
      <c r="I10" s="16">
        <f t="shared" si="1"/>
        <v>7.2</v>
      </c>
      <c r="J10" s="16">
        <f t="shared" si="1"/>
        <v>8.1</v>
      </c>
      <c r="K10" s="16">
        <f t="shared" si="1"/>
        <v>9</v>
      </c>
    </row>
    <row r="11" spans="1:11" ht="16.149999999999999" x14ac:dyDescent="0.55000000000000004">
      <c r="A11">
        <v>10</v>
      </c>
      <c r="B11" s="16">
        <f t="shared" si="1"/>
        <v>1</v>
      </c>
      <c r="C11" s="16">
        <f t="shared" si="1"/>
        <v>2</v>
      </c>
      <c r="D11" s="16">
        <f t="shared" si="1"/>
        <v>3</v>
      </c>
      <c r="E11" s="16">
        <f t="shared" si="1"/>
        <v>4</v>
      </c>
      <c r="F11" s="16">
        <f t="shared" si="1"/>
        <v>5</v>
      </c>
      <c r="G11" s="16">
        <f t="shared" si="1"/>
        <v>6</v>
      </c>
      <c r="H11" s="16">
        <f t="shared" si="1"/>
        <v>7</v>
      </c>
      <c r="I11" s="16">
        <f t="shared" si="1"/>
        <v>8</v>
      </c>
      <c r="J11" s="16">
        <f t="shared" si="1"/>
        <v>9</v>
      </c>
      <c r="K11" s="16">
        <f t="shared" si="1"/>
        <v>10</v>
      </c>
    </row>
  </sheetData>
  <conditionalFormatting sqref="B2:K7 B11:G11 B9:H10 B8:J8">
    <cfRule type="colorScale" priority="1">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Samplesize</vt:lpstr>
      <vt:lpstr>Variable list</vt:lpstr>
      <vt:lpstr>pSSDM</vt:lpstr>
      <vt:lpstr>MPA</vt:lpstr>
      <vt:lpstr>MPAoverlap</vt:lpstr>
      <vt:lpstr>VIF</vt:lpstr>
      <vt:lpstr>Sheet2</vt:lpstr>
      <vt:lpstr>pSSDMraw</vt:lpstr>
      <vt:lpstr>Sheet3</vt:lpstr>
      <vt:lpstr>Sheet3!v</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Rachel Hickcox</cp:lastModifiedBy>
  <dcterms:created xsi:type="dcterms:W3CDTF">2021-08-26T03:16:46Z</dcterms:created>
  <dcterms:modified xsi:type="dcterms:W3CDTF">2022-09-21T04:01:02Z</dcterms:modified>
</cp:coreProperties>
</file>